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Alumnos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Pagos" sheetId="6" state="visible" r:id="rId6"/>
    <sheet xmlns:r="http://schemas.openxmlformats.org/officeDocument/2006/relationships" name="Clases" sheetId="7" state="visible" r:id="rId7"/>
    <sheet xmlns:r="http://schemas.openxmlformats.org/officeDocument/2006/relationships" name="Avance" sheetId="8" state="visible" r:id="rId8"/>
    <sheet xmlns:r="http://schemas.openxmlformats.org/officeDocument/2006/relationships" name="Tutores" sheetId="9" state="visible" r:id="rId9"/>
    <sheet xmlns:r="http://schemas.openxmlformats.org/officeDocument/2006/relationships" name="Catalogo" sheetId="10" state="visible" r:id="rId10"/>
    <sheet xmlns:r="http://schemas.openxmlformats.org/officeDocument/2006/relationships" name="Lis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S/ &quot;0.00"/>
    <numFmt numFmtId="165" formatCode="&quot;S/ &quot;#,##0"/>
    <numFmt numFmtId="166" formatCode="dd/mm/yyyy"/>
    <numFmt numFmtId="167" formatCode="&quot;S/ &quot;#,##0.00"/>
    <numFmt numFmtId="168" formatCode="hh:mm"/>
    <numFmt numFmtId="169" formatCode="mmmm yyyy"/>
    <numFmt numFmtId="170" formatCode="0.0"/>
  </numFmts>
  <fonts count="8">
    <font>
      <name val="Calibri"/>
      <family val="2"/>
      <color theme="1"/>
      <sz val="11"/>
      <scheme val="minor"/>
    </font>
    <font>
      <b val="1"/>
      <color rgb="000B2533"/>
    </font>
    <font>
      <b val="1"/>
      <color rgb="00FFFFFF"/>
    </font>
    <font>
      <b val="1"/>
      <color rgb="00FFFFFF"/>
      <sz val="16"/>
    </font>
    <font>
      <b val="1"/>
    </font>
    <font>
      <color rgb="00888888"/>
    </font>
    <font>
      <b val="1"/>
      <color rgb="000B2533"/>
      <sz val="12"/>
    </font>
    <font>
      <i val="1"/>
      <color rgb="001FA2A6"/>
    </font>
  </fonts>
  <fills count="6">
    <fill>
      <patternFill/>
    </fill>
    <fill>
      <patternFill patternType="gray125"/>
    </fill>
    <fill>
      <patternFill patternType="solid">
        <fgColor rgb="00F9C74F"/>
      </patternFill>
    </fill>
    <fill>
      <patternFill patternType="solid">
        <fgColor rgb="001FA2A6"/>
      </patternFill>
    </fill>
    <fill>
      <patternFill patternType="solid">
        <fgColor rgb="00EEF6F7"/>
      </patternFill>
    </fill>
    <fill>
      <patternFill patternType="solid">
        <fgColor rgb="000B25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9" fontId="0" fillId="2" borderId="0" pivotButton="0" quotePrefix="0" xfId="0"/>
    <xf numFmtId="166" fontId="5" fillId="0" borderId="0" pivotButton="0" quotePrefix="0" xfId="0"/>
    <xf numFmtId="0" fontId="2" fillId="3" borderId="0" pivotButton="0" quotePrefix="0" xfId="0"/>
    <xf numFmtId="165" fontId="6" fillId="4" borderId="0" pivotButton="0" quotePrefix="0" xfId="0"/>
    <xf numFmtId="0" fontId="6" fillId="4" borderId="0" pivotButton="0" quotePrefix="0" xfId="0"/>
    <xf numFmtId="170" fontId="6" fillId="4" borderId="0" pivotButton="0" quotePrefix="0" xfId="0"/>
    <xf numFmtId="9" fontId="6" fillId="4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167" fontId="0" fillId="0" borderId="0" pivotButton="0" quotePrefix="0" xfId="0"/>
    <xf numFmtId="166" fontId="0" fillId="4" borderId="0" pivotButton="0" quotePrefix="0" xfId="0"/>
    <xf numFmtId="168" fontId="0" fillId="0" borderId="0" pivotButton="0" quotePrefix="0" xfId="0"/>
    <xf numFmtId="9" fontId="0" fillId="4" borderId="0" pivotButton="0" quotePrefix="0" xfId="0"/>
    <xf numFmtId="164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9CC"/>
        </patternFill>
      </fill>
    </dxf>
    <dxf>
      <fill>
        <patternFill patternType="solid">
          <fgColor rgb="00FFE8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533"/>
    <outlinePr summaryBelow="1" summaryRight="1"/>
    <pageSetUpPr/>
  </sheetPr>
  <dimension ref="B1:C15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0" customWidth="1" min="3" max="3"/>
  </cols>
  <sheetData>
    <row r="1" ht="34" customHeight="1">
      <c r="B1" s="1" t="inlineStr">
        <is>
          <t>ASTROS · Sistema de Información Gerencial</t>
        </is>
      </c>
      <c r="C1" s="2" t="n"/>
    </row>
    <row r="2">
      <c r="B2" s="3" t="inlineStr">
        <is>
          <t>"Aprender para crecer" · Maestros Asesores</t>
        </is>
      </c>
    </row>
    <row r="4" ht="36" customHeight="1">
      <c r="B4" s="4" t="inlineStr">
        <is>
          <t>Cómo funciona</t>
        </is>
      </c>
      <c r="C4" s="5" t="inlineStr">
        <is>
          <t>Escribe solo en las columnas con encabezado AMARILLO. Las de encabezado TURQUESA se calculan solas (no las borres).</t>
        </is>
      </c>
    </row>
    <row r="5" ht="36" customHeight="1">
      <c r="B5" s="4" t="inlineStr">
        <is>
          <t>1. Leads</t>
        </is>
      </c>
      <c r="C5" s="5" t="inlineStr">
        <is>
          <t>Cada persona que escribe por IG, FB, WhatsApp o la web. Anota el canal y el código de campaña para saber qué funciona. Pon fecha de próximo seguimiento: si se vence, se pinta en rojo.</t>
        </is>
      </c>
    </row>
    <row r="6" ht="36" customHeight="1">
      <c r="B6" s="4" t="inlineStr">
        <is>
          <t>2. Alumnos</t>
        </is>
      </c>
      <c r="C6" s="5" t="inlineStr">
        <is>
          <t>Cuando un lead se inscribe, créalo aquí (el ID A001, A002... aparece solo al poner el nombre). Cambia el lead a 'Inscrito'. Aquí ves sus horas restantes y su deuda.</t>
        </is>
      </c>
    </row>
    <row r="7" ht="36" customHeight="1">
      <c r="B7" s="4" t="inlineStr">
        <is>
          <t>3. Ventas</t>
        </is>
      </c>
      <c r="C7" s="5" t="inlineStr">
        <is>
          <t>Cada paquete vendido: elige el ID del alumno y el código del producto (del Catálogo); horas y precio se llenan solos. Pon descuento si aplica.</t>
        </is>
      </c>
    </row>
    <row r="8" ht="36" customHeight="1">
      <c r="B8" s="4" t="inlineStr">
        <is>
          <t>4. Pagos</t>
        </is>
      </c>
      <c r="C8" s="5" t="inlineStr">
        <is>
          <t>Cada Yape, Plin o transferencia, con N° de operación y el ID de venta que paga. Así la deuda se actualiza sola.</t>
        </is>
      </c>
    </row>
    <row r="9" ht="36" customHeight="1">
      <c r="B9" s="4" t="inlineStr">
        <is>
          <t>5. Clases</t>
        </is>
      </c>
      <c r="C9" s="5" t="inlineStr">
        <is>
          <t>Cada clase dictada: alumno, horas, tema y link de la grabación. Descuenta horas del alumno y calcula el pago al tutor. 'Reprogramada' no descuenta.</t>
        </is>
      </c>
    </row>
    <row r="10" ht="36" customHeight="1">
      <c r="B10" s="4" t="inlineStr">
        <is>
          <t>6. Avance</t>
        </is>
      </c>
      <c r="C10" s="5" t="inlineStr">
        <is>
          <t>Notas de simulacros y prácticas. Sirve para reportes a padres y para mostrar progreso.</t>
        </is>
      </c>
    </row>
    <row r="11" ht="36" customHeight="1">
      <c r="B11" s="4" t="inlineStr">
        <is>
          <t>7. Tutores</t>
        </is>
      </c>
      <c r="C11" s="5" t="inlineStr">
        <is>
          <t>Hoy solo tú (pago 0). Cuando contrates, agrega su tarifa por hora y el sistema calcula cuánto le debes.</t>
        </is>
      </c>
    </row>
    <row r="12" ht="36" customHeight="1">
      <c r="B12" s="4" t="inlineStr">
        <is>
          <t>Catálogo</t>
        </is>
      </c>
      <c r="C12" s="5" t="inlineStr">
        <is>
          <t>Tus productos y precios. Están cargados con la PROPUESTA de precios; cámbialos cuando apruebes el tarifario. El margen se calcula con el pago al tutor.</t>
        </is>
      </c>
    </row>
    <row r="13" ht="36" customHeight="1">
      <c r="B13" s="4" t="inlineStr">
        <is>
          <t>Dashboard</t>
        </is>
      </c>
      <c r="C13" s="5" t="inlineStr">
        <is>
          <t>Elige el mes en la celda amarilla y verás ingresos, horas, leads, conversión y resultados por campaña.</t>
        </is>
      </c>
    </row>
    <row r="14" ht="36" customHeight="1">
      <c r="B14" s="4" t="inlineStr">
        <is>
          <t>Códigos de campaña</t>
        </is>
      </c>
      <c r="C14" s="5" t="inlineStr">
        <is>
          <t>SPRINT-ULIMA, SPRINT-PUCP, REFUERZO-CEPU, MEDICINA-UPCH, VERANO-PUCP, VERANO-ULIMA, CACHIMBOS, REFERIDOS, ORGANICO. Se editan en la hoja Listas.</t>
        </is>
      </c>
    </row>
    <row r="15" ht="36" customHeight="1">
      <c r="B15" s="4" t="inlineStr">
        <is>
          <t>Desde el celular</t>
        </is>
      </c>
      <c r="C15" s="5" t="inlineStr">
        <is>
          <t>Usa la app de Google Sheets. Toca una celda con flecha para elegir de la lista. Para fechas escribe dd/mm/aaaa.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3946"/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4" customWidth="1" min="4" max="4"/>
    <col width="30" customWidth="1" min="5" max="5"/>
    <col width="16" customWidth="1" min="6" max="6"/>
    <col width="16" customWidth="1" min="7" max="7"/>
  </cols>
  <sheetData>
    <row r="1" ht="34" customHeight="1">
      <c r="B1" s="1" t="inlineStr">
        <is>
          <t>ASTROS · Panel de gestión</t>
        </is>
      </c>
      <c r="C1" s="2" t="n"/>
      <c r="D1" s="2" t="n"/>
      <c r="E1" s="2" t="n"/>
      <c r="F1" s="2" t="n"/>
      <c r="G1" s="2" t="n"/>
    </row>
    <row r="3">
      <c r="B3" s="6" t="inlineStr">
        <is>
          <t>Mes a analizar (cualquier día del mes):</t>
        </is>
      </c>
      <c r="C3" s="7">
        <f>TODAY()</f>
        <v/>
      </c>
    </row>
    <row r="4">
      <c r="B4" t="inlineStr">
        <is>
          <t>Inicio de mes</t>
        </is>
      </c>
      <c r="C4" s="8">
        <f>DATE(YEAR(C3),MONTH(C3),1)</f>
        <v/>
      </c>
    </row>
    <row r="5">
      <c r="B5" t="inlineStr">
        <is>
          <t>Fin de mes</t>
        </is>
      </c>
      <c r="C5" s="8">
        <f>EOMONTH(C3,0)</f>
        <v/>
      </c>
    </row>
    <row r="7">
      <c r="B7" s="9" t="inlineStr">
        <is>
          <t>Este mes</t>
        </is>
      </c>
      <c r="E7" s="9" t="inlineStr">
        <is>
          <t>Acumulado</t>
        </is>
      </c>
    </row>
    <row r="8">
      <c r="B8" t="inlineStr">
        <is>
          <t>Ingresos cobrados</t>
        </is>
      </c>
      <c r="C8" s="10">
        <f>SUMIFS(Pagos!$E:$E,Pagos!$A:$A,"&gt;="&amp;C4,Pagos!$A:$A,"&lt;="&amp;C5)</f>
        <v/>
      </c>
      <c r="E8" t="inlineStr">
        <is>
          <t>Alumnos activos</t>
        </is>
      </c>
      <c r="F8" s="11">
        <f>COUNTIF(Alumnos!$M:$M,"Activo")</f>
        <v/>
      </c>
    </row>
    <row r="9">
      <c r="B9" t="inlineStr">
        <is>
          <t>Ventas cerradas (S/)</t>
        </is>
      </c>
      <c r="C9" s="10">
        <f>SUMIFS(Ventas!$I:$I,Ventas!$B:$B,"&gt;="&amp;C4,Ventas!$B:$B,"&lt;="&amp;C5)</f>
        <v/>
      </c>
      <c r="E9" t="inlineStr">
        <is>
          <t>Deuda por cobrar</t>
        </is>
      </c>
      <c r="F9" s="10">
        <f>SUMIF(Ventas!$K:$K,"&gt;0")</f>
        <v/>
      </c>
    </row>
    <row r="10">
      <c r="B10" t="inlineStr">
        <is>
          <t>N° de ventas</t>
        </is>
      </c>
      <c r="C10" s="11">
        <f>COUNTIFS(Ventas!$B:$B,"&gt;="&amp;C4,Ventas!$B:$B,"&lt;="&amp;C5)</f>
        <v/>
      </c>
      <c r="E10" t="inlineStr">
        <is>
          <t>Horas pendientes de dictar</t>
        </is>
      </c>
      <c r="F10" s="12">
        <f>SUMIF(Alumnos!$P:$P,"&gt;0")</f>
        <v/>
      </c>
    </row>
    <row r="11">
      <c r="B11" t="inlineStr">
        <is>
          <t>Ticket promedio</t>
        </is>
      </c>
      <c r="C11" s="10">
        <f>IFERROR(C9/C10,0)</f>
        <v/>
      </c>
      <c r="E11" t="inlineStr">
        <is>
          <t>Leads abiertos</t>
        </is>
      </c>
      <c r="F11" s="11">
        <f>COUNTA(Leads!$C:$C)-1-COUNTIF(Leads!$J:$J,"Inscrito")-COUNTIF(Leads!$J:$J,"Perdido")</f>
        <v/>
      </c>
    </row>
    <row r="12">
      <c r="B12" t="inlineStr">
        <is>
          <t>Horas dictadas</t>
        </is>
      </c>
      <c r="C12" s="12">
        <f>SUMIFS(Clases!$I:$I,Clases!$A:$A,"&gt;="&amp;C4,Clases!$A:$A,"&lt;="&amp;C5,Clases!$J:$J,"&lt;&gt;Reprogramada")</f>
        <v/>
      </c>
      <c r="E12" t="inlineStr">
        <is>
          <t>Seguimientos vencidos</t>
        </is>
      </c>
      <c r="F12" s="11">
        <f>COUNTIF(Leads!$M:$M,"&gt;0")</f>
        <v/>
      </c>
    </row>
    <row r="13">
      <c r="B13" t="inlineStr">
        <is>
          <t>Pago a tutores</t>
        </is>
      </c>
      <c r="C13" s="10">
        <f>SUMIFS(Clases!$N:$N,Clases!$A:$A,"&gt;="&amp;C4,Clases!$A:$A,"&lt;="&amp;C5)</f>
        <v/>
      </c>
      <c r="E13" t="inlineStr">
        <is>
          <t>Ingresantes</t>
        </is>
      </c>
      <c r="F13" s="11">
        <f>COUNTIF(Alumnos!$M:$M,"Ingresó")</f>
        <v/>
      </c>
    </row>
    <row r="14">
      <c r="B14" t="inlineStr">
        <is>
          <t>Leads nuevos</t>
        </is>
      </c>
      <c r="C14" s="11">
        <f>COUNTIFS(Leads!$B:$B,"&gt;="&amp;C4,Leads!$B:$B,"&lt;="&amp;C5)</f>
        <v/>
      </c>
      <c r="E14" t="inlineStr">
        <is>
          <t>Ingresos totales cobrados</t>
        </is>
      </c>
      <c r="F14" s="10">
        <f>SUM(Pagos!$E:$E)</f>
        <v/>
      </c>
    </row>
    <row r="15">
      <c r="B15" t="inlineStr">
        <is>
          <t>Leads del mes ya inscritos</t>
        </is>
      </c>
      <c r="C15" s="11">
        <f>COUNTIFS(Leads!$B:$B,"&gt;="&amp;C4,Leads!$B:$B,"&lt;="&amp;C5,Leads!$J:$J,"Inscrito")</f>
        <v/>
      </c>
    </row>
    <row r="16">
      <c r="B16" t="inlineStr">
        <is>
          <t>Conversión lead → alumno</t>
        </is>
      </c>
      <c r="C16" s="13">
        <f>IFERROR(C15/C14,0)</f>
        <v/>
      </c>
    </row>
    <row r="18">
      <c r="B18" s="9" t="inlineStr">
        <is>
          <t>Leads por canal (este mes)</t>
        </is>
      </c>
      <c r="C18" t="inlineStr">
        <is>
          <t>Leads</t>
        </is>
      </c>
      <c r="E18" s="9" t="inlineStr">
        <is>
          <t>Leads por universidad (este mes)</t>
        </is>
      </c>
      <c r="F18" t="inlineStr">
        <is>
          <t>Leads</t>
        </is>
      </c>
      <c r="G18" t="inlineStr">
        <is>
          <t>Inscritos</t>
        </is>
      </c>
    </row>
    <row r="19">
      <c r="B19" t="inlineStr">
        <is>
          <t>Instagram</t>
        </is>
      </c>
      <c r="C19">
        <f>COUNTIFS(Leads!$H:$H,B19,Leads!$B:$B,"&gt;="&amp;$C$4,Leads!$B:$B,"&lt;="&amp;$C$5)</f>
        <v/>
      </c>
      <c r="E19" t="inlineStr">
        <is>
          <t>PUCP</t>
        </is>
      </c>
      <c r="F19">
        <f>COUNTIFS(Leads!$F:$F,E19,Leads!$B:$B,"&gt;="&amp;$C$4,Leads!$B:$B,"&lt;="&amp;$C$5)</f>
        <v/>
      </c>
      <c r="G19">
        <f>COUNTIFS(Leads!$F:$F,E19,Leads!$B:$B,"&gt;="&amp;$C$4,Leads!$B:$B,"&lt;="&amp;$C$5,Leads!$J:$J,"Inscrito")</f>
        <v/>
      </c>
    </row>
    <row r="20">
      <c r="B20" t="inlineStr">
        <is>
          <t>Facebook</t>
        </is>
      </c>
      <c r="C20">
        <f>COUNTIFS(Leads!$H:$H,B20,Leads!$B:$B,"&gt;="&amp;$C$4,Leads!$B:$B,"&lt;="&amp;$C$5)</f>
        <v/>
      </c>
      <c r="E20" t="inlineStr">
        <is>
          <t>ULIMA</t>
        </is>
      </c>
      <c r="F20">
        <f>COUNTIFS(Leads!$F:$F,E20,Leads!$B:$B,"&gt;="&amp;$C$4,Leads!$B:$B,"&lt;="&amp;$C$5)</f>
        <v/>
      </c>
      <c r="G20">
        <f>COUNTIFS(Leads!$F:$F,E20,Leads!$B:$B,"&gt;="&amp;$C$4,Leads!$B:$B,"&lt;="&amp;$C$5,Leads!$J:$J,"Inscrito")</f>
        <v/>
      </c>
    </row>
    <row r="21">
      <c r="B21" t="inlineStr">
        <is>
          <t>TikTok</t>
        </is>
      </c>
      <c r="C21">
        <f>COUNTIFS(Leads!$H:$H,B21,Leads!$B:$B,"&gt;="&amp;$C$4,Leads!$B:$B,"&lt;="&amp;$C$5)</f>
        <v/>
      </c>
      <c r="E21" t="inlineStr">
        <is>
          <t>UPC</t>
        </is>
      </c>
      <c r="F21">
        <f>COUNTIFS(Leads!$F:$F,E21,Leads!$B:$B,"&gt;="&amp;$C$4,Leads!$B:$B,"&lt;="&amp;$C$5)</f>
        <v/>
      </c>
      <c r="G21">
        <f>COUNTIFS(Leads!$F:$F,E21,Leads!$B:$B,"&gt;="&amp;$C$4,Leads!$B:$B,"&lt;="&amp;$C$5,Leads!$J:$J,"Inscrito")</f>
        <v/>
      </c>
    </row>
    <row r="22">
      <c r="B22" t="inlineStr">
        <is>
          <t>WhatsApp</t>
        </is>
      </c>
      <c r="C22">
        <f>COUNTIFS(Leads!$H:$H,B22,Leads!$B:$B,"&gt;="&amp;$C$4,Leads!$B:$B,"&lt;="&amp;$C$5)</f>
        <v/>
      </c>
      <c r="E22" t="inlineStr">
        <is>
          <t>UPCH</t>
        </is>
      </c>
      <c r="F22">
        <f>COUNTIFS(Leads!$F:$F,E22,Leads!$B:$B,"&gt;="&amp;$C$4,Leads!$B:$B,"&lt;="&amp;$C$5)</f>
        <v/>
      </c>
      <c r="G22">
        <f>COUNTIFS(Leads!$F:$F,E22,Leads!$B:$B,"&gt;="&amp;$C$4,Leads!$B:$B,"&lt;="&amp;$C$5,Leads!$J:$J,"Inscrito")</f>
        <v/>
      </c>
    </row>
    <row r="23">
      <c r="B23" t="inlineStr">
        <is>
          <t>Web</t>
        </is>
      </c>
      <c r="C23">
        <f>COUNTIFS(Leads!$H:$H,B23,Leads!$B:$B,"&gt;="&amp;$C$4,Leads!$B:$B,"&lt;="&amp;$C$5)</f>
        <v/>
      </c>
      <c r="E23" t="inlineStr">
        <is>
          <t>Otra</t>
        </is>
      </c>
      <c r="F23">
        <f>COUNTIFS(Leads!$F:$F,E23,Leads!$B:$B,"&gt;="&amp;$C$4,Leads!$B:$B,"&lt;="&amp;$C$5)</f>
        <v/>
      </c>
      <c r="G23">
        <f>COUNTIFS(Leads!$F:$F,E23,Leads!$B:$B,"&gt;="&amp;$C$4,Leads!$B:$B,"&lt;="&amp;$C$5,Leads!$J:$J,"Inscrito")</f>
        <v/>
      </c>
    </row>
    <row r="24">
      <c r="B24" t="inlineStr">
        <is>
          <t>Referido</t>
        </is>
      </c>
      <c r="C24">
        <f>COUNTIFS(Leads!$H:$H,B24,Leads!$B:$B,"&gt;="&amp;$C$4,Leads!$B:$B,"&lt;="&amp;$C$5)</f>
        <v/>
      </c>
    </row>
    <row r="25">
      <c r="B25" t="inlineStr">
        <is>
          <t>Colegio</t>
        </is>
      </c>
      <c r="C25">
        <f>COUNTIFS(Leads!$H:$H,B25,Leads!$B:$B,"&gt;="&amp;$C$4,Leads!$B:$B,"&lt;="&amp;$C$5)</f>
        <v/>
      </c>
    </row>
    <row r="26">
      <c r="B26" t="inlineStr">
        <is>
          <t>Otro</t>
        </is>
      </c>
      <c r="C26">
        <f>COUNTIFS(Leads!$H:$H,B26,Leads!$B:$B,"&gt;="&amp;$C$4,Leads!$B:$B,"&lt;="&amp;$C$5)</f>
        <v/>
      </c>
    </row>
    <row r="28">
      <c r="B28" s="9" t="inlineStr">
        <is>
          <t>Resultados por campaña (acumulado)</t>
        </is>
      </c>
      <c r="C28" t="inlineStr">
        <is>
          <t>Leads</t>
        </is>
      </c>
      <c r="E28" t="inlineStr">
        <is>
          <t>Inscritos</t>
        </is>
      </c>
      <c r="F28" t="inlineStr">
        <is>
          <t>Ventas (S/)</t>
        </is>
      </c>
      <c r="G28" t="inlineStr">
        <is>
          <t>Conversión</t>
        </is>
      </c>
    </row>
    <row r="29">
      <c r="B29" t="inlineStr">
        <is>
          <t>SPRINT-ULIMA</t>
        </is>
      </c>
      <c r="C29">
        <f>COUNTIF(Leads!$I:$I,B29)</f>
        <v/>
      </c>
      <c r="E29">
        <f>COUNTIFS(Leads!$I:$I,B29,Leads!$J:$J,"Inscrito")</f>
        <v/>
      </c>
      <c r="F29" s="14">
        <f>SUMIF(Ventas!$M:$M,B29,Ventas!$I:$I)</f>
        <v/>
      </c>
      <c r="G29" s="15">
        <f>IFERROR(E29/C29,0)</f>
        <v/>
      </c>
    </row>
    <row r="30">
      <c r="B30" t="inlineStr">
        <is>
          <t>SPRINT-PUCP</t>
        </is>
      </c>
      <c r="C30">
        <f>COUNTIF(Leads!$I:$I,B30)</f>
        <v/>
      </c>
      <c r="E30">
        <f>COUNTIFS(Leads!$I:$I,B30,Leads!$J:$J,"Inscrito")</f>
        <v/>
      </c>
      <c r="F30" s="14">
        <f>SUMIF(Ventas!$M:$M,B30,Ventas!$I:$I)</f>
        <v/>
      </c>
      <c r="G30" s="15">
        <f>IFERROR(E30/C30,0)</f>
        <v/>
      </c>
    </row>
    <row r="31">
      <c r="B31" t="inlineStr">
        <is>
          <t>REFUERZO-CEPU</t>
        </is>
      </c>
      <c r="C31">
        <f>COUNTIF(Leads!$I:$I,B31)</f>
        <v/>
      </c>
      <c r="E31">
        <f>COUNTIFS(Leads!$I:$I,B31,Leads!$J:$J,"Inscrito")</f>
        <v/>
      </c>
      <c r="F31" s="14">
        <f>SUMIF(Ventas!$M:$M,B31,Ventas!$I:$I)</f>
        <v/>
      </c>
      <c r="G31" s="15">
        <f>IFERROR(E31/C31,0)</f>
        <v/>
      </c>
    </row>
    <row r="32">
      <c r="B32" t="inlineStr">
        <is>
          <t>MEDICINA-UPCH</t>
        </is>
      </c>
      <c r="C32">
        <f>COUNTIF(Leads!$I:$I,B32)</f>
        <v/>
      </c>
      <c r="E32">
        <f>COUNTIFS(Leads!$I:$I,B32,Leads!$J:$J,"Inscrito")</f>
        <v/>
      </c>
      <c r="F32" s="14">
        <f>SUMIF(Ventas!$M:$M,B32,Ventas!$I:$I)</f>
        <v/>
      </c>
      <c r="G32" s="15">
        <f>IFERROR(E32/C32,0)</f>
        <v/>
      </c>
    </row>
    <row r="33">
      <c r="B33" t="inlineStr">
        <is>
          <t>VERANO-PUCP</t>
        </is>
      </c>
      <c r="C33">
        <f>COUNTIF(Leads!$I:$I,B33)</f>
        <v/>
      </c>
      <c r="E33">
        <f>COUNTIFS(Leads!$I:$I,B33,Leads!$J:$J,"Inscrito")</f>
        <v/>
      </c>
      <c r="F33" s="14">
        <f>SUMIF(Ventas!$M:$M,B33,Ventas!$I:$I)</f>
        <v/>
      </c>
      <c r="G33" s="15">
        <f>IFERROR(E33/C33,0)</f>
        <v/>
      </c>
    </row>
    <row r="34">
      <c r="B34" t="inlineStr">
        <is>
          <t>VERANO-ULIMA</t>
        </is>
      </c>
      <c r="C34">
        <f>COUNTIF(Leads!$I:$I,B34)</f>
        <v/>
      </c>
      <c r="E34">
        <f>COUNTIFS(Leads!$I:$I,B34,Leads!$J:$J,"Inscrito")</f>
        <v/>
      </c>
      <c r="F34" s="14">
        <f>SUMIF(Ventas!$M:$M,B34,Ventas!$I:$I)</f>
        <v/>
      </c>
      <c r="G34" s="15">
        <f>IFERROR(E34/C34,0)</f>
        <v/>
      </c>
    </row>
    <row r="35">
      <c r="B35" t="inlineStr">
        <is>
          <t>CACHIMBOS</t>
        </is>
      </c>
      <c r="C35">
        <f>COUNTIF(Leads!$I:$I,B35)</f>
        <v/>
      </c>
      <c r="E35">
        <f>COUNTIFS(Leads!$I:$I,B35,Leads!$J:$J,"Inscrito")</f>
        <v/>
      </c>
      <c r="F35" s="14">
        <f>SUMIF(Ventas!$M:$M,B35,Ventas!$I:$I)</f>
        <v/>
      </c>
      <c r="G35" s="15">
        <f>IFERROR(E35/C35,0)</f>
        <v/>
      </c>
    </row>
    <row r="36">
      <c r="B36" t="inlineStr">
        <is>
          <t>REFERIDOS</t>
        </is>
      </c>
      <c r="C36">
        <f>COUNTIF(Leads!$I:$I,B36)</f>
        <v/>
      </c>
      <c r="E36">
        <f>COUNTIFS(Leads!$I:$I,B36,Leads!$J:$J,"Inscrito")</f>
        <v/>
      </c>
      <c r="F36" s="14">
        <f>SUMIF(Ventas!$M:$M,B36,Ventas!$I:$I)</f>
        <v/>
      </c>
      <c r="G36" s="15">
        <f>IFERROR(E36/C36,0)</f>
        <v/>
      </c>
    </row>
    <row r="37">
      <c r="B37" t="inlineStr">
        <is>
          <t>ORGANICO</t>
        </is>
      </c>
      <c r="C37">
        <f>COUNTIF(Leads!$I:$I,B37)</f>
        <v/>
      </c>
      <c r="E37">
        <f>COUNTIFS(Leads!$I:$I,B37,Leads!$J:$J,"Inscrito")</f>
        <v/>
      </c>
      <c r="F37" s="14">
        <f>SUMIF(Ventas!$M:$M,B37,Ventas!$I:$I)</f>
        <v/>
      </c>
      <c r="G37" s="15">
        <f>IFERROR(E37/C37,0)</f>
        <v/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A2A6"/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4" customWidth="1" min="4" max="4"/>
    <col width="16" customWidth="1" min="5" max="5"/>
    <col width="14" customWidth="1" min="6" max="6"/>
    <col width="20" customWidth="1" min="7" max="7"/>
    <col width="12" customWidth="1" min="8" max="8"/>
    <col width="16" customWidth="1" min="9" max="9"/>
    <col width="20" customWidth="1" min="10" max="10"/>
    <col width="14" customWidth="1" min="11" max="11"/>
    <col width="30" customWidth="1" min="12" max="12"/>
    <col width="12" customWidth="1" min="13" max="13"/>
  </cols>
  <sheetData>
    <row r="1" ht="32" customHeight="1">
      <c r="A1" s="16" t="inlineStr">
        <is>
          <t>ID</t>
        </is>
      </c>
      <c r="B1" s="17" t="inlineStr">
        <is>
          <t>Fecha</t>
        </is>
      </c>
      <c r="C1" s="17" t="inlineStr">
        <is>
          <t>Nombre</t>
        </is>
      </c>
      <c r="D1" s="17" t="inlineStr">
        <is>
          <t>WhatsApp</t>
        </is>
      </c>
      <c r="E1" s="17" t="inlineStr">
        <is>
          <t>Nivel</t>
        </is>
      </c>
      <c r="F1" s="17" t="inlineStr">
        <is>
          <t>Universidad objetivo</t>
        </is>
      </c>
      <c r="G1" s="17" t="inlineStr">
        <is>
          <t>Carrera / curso</t>
        </is>
      </c>
      <c r="H1" s="17" t="inlineStr">
        <is>
          <t>Canal</t>
        </is>
      </c>
      <c r="I1" s="17" t="inlineStr">
        <is>
          <t>Código campaña</t>
        </is>
      </c>
      <c r="J1" s="17" t="inlineStr">
        <is>
          <t>Estado</t>
        </is>
      </c>
      <c r="K1" s="17" t="inlineStr">
        <is>
          <t>Próximo seguimiento</t>
        </is>
      </c>
      <c r="L1" s="17" t="inlineStr">
        <is>
          <t>Notas</t>
        </is>
      </c>
      <c r="M1" s="16" t="inlineStr">
        <is>
          <t>Días sin seguimiento</t>
        </is>
      </c>
    </row>
    <row r="2">
      <c r="A2" s="18">
        <f>IF(C2="","","L"&amp;TEXT(ROW()-1,"000"))</f>
        <v/>
      </c>
      <c r="B2" s="19" t="n"/>
      <c r="K2" s="19" t="n"/>
      <c r="M2" s="18">
        <f>IF(OR(K2="",J2="Inscrito",J2="Perdido"),"",TODAY()-K2)</f>
        <v/>
      </c>
    </row>
    <row r="3">
      <c r="A3" s="18">
        <f>IF(C3="","","L"&amp;TEXT(ROW()-1,"000"))</f>
        <v/>
      </c>
      <c r="B3" s="19" t="n"/>
      <c r="K3" s="19" t="n"/>
      <c r="M3" s="18">
        <f>IF(OR(K3="",J3="Inscrito",J3="Perdido"),"",TODAY()-K3)</f>
        <v/>
      </c>
    </row>
    <row r="4">
      <c r="A4" s="18">
        <f>IF(C4="","","L"&amp;TEXT(ROW()-1,"000"))</f>
        <v/>
      </c>
      <c r="B4" s="19" t="n"/>
      <c r="K4" s="19" t="n"/>
      <c r="M4" s="18">
        <f>IF(OR(K4="",J4="Inscrito",J4="Perdido"),"",TODAY()-K4)</f>
        <v/>
      </c>
    </row>
    <row r="5">
      <c r="A5" s="18">
        <f>IF(C5="","","L"&amp;TEXT(ROW()-1,"000"))</f>
        <v/>
      </c>
      <c r="B5" s="19" t="n"/>
      <c r="K5" s="19" t="n"/>
      <c r="M5" s="18">
        <f>IF(OR(K5="",J5="Inscrito",J5="Perdido"),"",TODAY()-K5)</f>
        <v/>
      </c>
    </row>
    <row r="6">
      <c r="A6" s="18">
        <f>IF(C6="","","L"&amp;TEXT(ROW()-1,"000"))</f>
        <v/>
      </c>
      <c r="B6" s="19" t="n"/>
      <c r="K6" s="19" t="n"/>
      <c r="M6" s="18">
        <f>IF(OR(K6="",J6="Inscrito",J6="Perdido"),"",TODAY()-K6)</f>
        <v/>
      </c>
    </row>
    <row r="7">
      <c r="A7" s="18">
        <f>IF(C7="","","L"&amp;TEXT(ROW()-1,"000"))</f>
        <v/>
      </c>
      <c r="B7" s="19" t="n"/>
      <c r="K7" s="19" t="n"/>
      <c r="M7" s="18">
        <f>IF(OR(K7="",J7="Inscrito",J7="Perdido"),"",TODAY()-K7)</f>
        <v/>
      </c>
    </row>
    <row r="8">
      <c r="A8" s="18">
        <f>IF(C8="","","L"&amp;TEXT(ROW()-1,"000"))</f>
        <v/>
      </c>
      <c r="B8" s="19" t="n"/>
      <c r="K8" s="19" t="n"/>
      <c r="M8" s="18">
        <f>IF(OR(K8="",J8="Inscrito",J8="Perdido"),"",TODAY()-K8)</f>
        <v/>
      </c>
    </row>
    <row r="9">
      <c r="A9" s="18">
        <f>IF(C9="","","L"&amp;TEXT(ROW()-1,"000"))</f>
        <v/>
      </c>
      <c r="B9" s="19" t="n"/>
      <c r="K9" s="19" t="n"/>
      <c r="M9" s="18">
        <f>IF(OR(K9="",J9="Inscrito",J9="Perdido"),"",TODAY()-K9)</f>
        <v/>
      </c>
    </row>
    <row r="10">
      <c r="A10" s="18">
        <f>IF(C10="","","L"&amp;TEXT(ROW()-1,"000"))</f>
        <v/>
      </c>
      <c r="B10" s="19" t="n"/>
      <c r="K10" s="19" t="n"/>
      <c r="M10" s="18">
        <f>IF(OR(K10="",J10="Inscrito",J10="Perdido"),"",TODAY()-K10)</f>
        <v/>
      </c>
    </row>
    <row r="11">
      <c r="A11" s="18">
        <f>IF(C11="","","L"&amp;TEXT(ROW()-1,"000"))</f>
        <v/>
      </c>
      <c r="B11" s="19" t="n"/>
      <c r="K11" s="19" t="n"/>
      <c r="M11" s="18">
        <f>IF(OR(K11="",J11="Inscrito",J11="Perdido"),"",TODAY()-K11)</f>
        <v/>
      </c>
    </row>
    <row r="12">
      <c r="A12" s="18">
        <f>IF(C12="","","L"&amp;TEXT(ROW()-1,"000"))</f>
        <v/>
      </c>
      <c r="B12" s="19" t="n"/>
      <c r="K12" s="19" t="n"/>
      <c r="M12" s="18">
        <f>IF(OR(K12="",J12="Inscrito",J12="Perdido"),"",TODAY()-K12)</f>
        <v/>
      </c>
    </row>
    <row r="13">
      <c r="A13" s="18">
        <f>IF(C13="","","L"&amp;TEXT(ROW()-1,"000"))</f>
        <v/>
      </c>
      <c r="B13" s="19" t="n"/>
      <c r="K13" s="19" t="n"/>
      <c r="M13" s="18">
        <f>IF(OR(K13="",J13="Inscrito",J13="Perdido"),"",TODAY()-K13)</f>
        <v/>
      </c>
    </row>
    <row r="14">
      <c r="A14" s="18">
        <f>IF(C14="","","L"&amp;TEXT(ROW()-1,"000"))</f>
        <v/>
      </c>
      <c r="B14" s="19" t="n"/>
      <c r="K14" s="19" t="n"/>
      <c r="M14" s="18">
        <f>IF(OR(K14="",J14="Inscrito",J14="Perdido"),"",TODAY()-K14)</f>
        <v/>
      </c>
    </row>
    <row r="15">
      <c r="A15" s="18">
        <f>IF(C15="","","L"&amp;TEXT(ROW()-1,"000"))</f>
        <v/>
      </c>
      <c r="B15" s="19" t="n"/>
      <c r="K15" s="19" t="n"/>
      <c r="M15" s="18">
        <f>IF(OR(K15="",J15="Inscrito",J15="Perdido"),"",TODAY()-K15)</f>
        <v/>
      </c>
    </row>
    <row r="16">
      <c r="A16" s="18">
        <f>IF(C16="","","L"&amp;TEXT(ROW()-1,"000"))</f>
        <v/>
      </c>
      <c r="B16" s="19" t="n"/>
      <c r="K16" s="19" t="n"/>
      <c r="M16" s="18">
        <f>IF(OR(K16="",J16="Inscrito",J16="Perdido"),"",TODAY()-K16)</f>
        <v/>
      </c>
    </row>
    <row r="17">
      <c r="A17" s="18">
        <f>IF(C17="","","L"&amp;TEXT(ROW()-1,"000"))</f>
        <v/>
      </c>
      <c r="B17" s="19" t="n"/>
      <c r="K17" s="19" t="n"/>
      <c r="M17" s="18">
        <f>IF(OR(K17="",J17="Inscrito",J17="Perdido"),"",TODAY()-K17)</f>
        <v/>
      </c>
    </row>
    <row r="18">
      <c r="A18" s="18">
        <f>IF(C18="","","L"&amp;TEXT(ROW()-1,"000"))</f>
        <v/>
      </c>
      <c r="B18" s="19" t="n"/>
      <c r="K18" s="19" t="n"/>
      <c r="M18" s="18">
        <f>IF(OR(K18="",J18="Inscrito",J18="Perdido"),"",TODAY()-K18)</f>
        <v/>
      </c>
    </row>
    <row r="19">
      <c r="A19" s="18">
        <f>IF(C19="","","L"&amp;TEXT(ROW()-1,"000"))</f>
        <v/>
      </c>
      <c r="B19" s="19" t="n"/>
      <c r="K19" s="19" t="n"/>
      <c r="M19" s="18">
        <f>IF(OR(K19="",J19="Inscrito",J19="Perdido"),"",TODAY()-K19)</f>
        <v/>
      </c>
    </row>
    <row r="20">
      <c r="A20" s="18">
        <f>IF(C20="","","L"&amp;TEXT(ROW()-1,"000"))</f>
        <v/>
      </c>
      <c r="B20" s="19" t="n"/>
      <c r="K20" s="19" t="n"/>
      <c r="M20" s="18">
        <f>IF(OR(K20="",J20="Inscrito",J20="Perdido"),"",TODAY()-K20)</f>
        <v/>
      </c>
    </row>
    <row r="21">
      <c r="A21" s="18">
        <f>IF(C21="","","L"&amp;TEXT(ROW()-1,"000"))</f>
        <v/>
      </c>
      <c r="B21" s="19" t="n"/>
      <c r="K21" s="19" t="n"/>
      <c r="M21" s="18">
        <f>IF(OR(K21="",J21="Inscrito",J21="Perdido"),"",TODAY()-K21)</f>
        <v/>
      </c>
    </row>
    <row r="22">
      <c r="A22" s="18">
        <f>IF(C22="","","L"&amp;TEXT(ROW()-1,"000"))</f>
        <v/>
      </c>
      <c r="B22" s="19" t="n"/>
      <c r="K22" s="19" t="n"/>
      <c r="M22" s="18">
        <f>IF(OR(K22="",J22="Inscrito",J22="Perdido"),"",TODAY()-K22)</f>
        <v/>
      </c>
    </row>
    <row r="23">
      <c r="A23" s="18">
        <f>IF(C23="","","L"&amp;TEXT(ROW()-1,"000"))</f>
        <v/>
      </c>
      <c r="B23" s="19" t="n"/>
      <c r="K23" s="19" t="n"/>
      <c r="M23" s="18">
        <f>IF(OR(K23="",J23="Inscrito",J23="Perdido"),"",TODAY()-K23)</f>
        <v/>
      </c>
    </row>
    <row r="24">
      <c r="A24" s="18">
        <f>IF(C24="","","L"&amp;TEXT(ROW()-1,"000"))</f>
        <v/>
      </c>
      <c r="B24" s="19" t="n"/>
      <c r="K24" s="19" t="n"/>
      <c r="M24" s="18">
        <f>IF(OR(K24="",J24="Inscrito",J24="Perdido"),"",TODAY()-K24)</f>
        <v/>
      </c>
    </row>
    <row r="25">
      <c r="A25" s="18">
        <f>IF(C25="","","L"&amp;TEXT(ROW()-1,"000"))</f>
        <v/>
      </c>
      <c r="B25" s="19" t="n"/>
      <c r="K25" s="19" t="n"/>
      <c r="M25" s="18">
        <f>IF(OR(K25="",J25="Inscrito",J25="Perdido"),"",TODAY()-K25)</f>
        <v/>
      </c>
    </row>
    <row r="26">
      <c r="A26" s="18">
        <f>IF(C26="","","L"&amp;TEXT(ROW()-1,"000"))</f>
        <v/>
      </c>
      <c r="B26" s="19" t="n"/>
      <c r="K26" s="19" t="n"/>
      <c r="M26" s="18">
        <f>IF(OR(K26="",J26="Inscrito",J26="Perdido"),"",TODAY()-K26)</f>
        <v/>
      </c>
    </row>
    <row r="27">
      <c r="A27" s="18">
        <f>IF(C27="","","L"&amp;TEXT(ROW()-1,"000"))</f>
        <v/>
      </c>
      <c r="B27" s="19" t="n"/>
      <c r="K27" s="19" t="n"/>
      <c r="M27" s="18">
        <f>IF(OR(K27="",J27="Inscrito",J27="Perdido"),"",TODAY()-K27)</f>
        <v/>
      </c>
    </row>
    <row r="28">
      <c r="A28" s="18">
        <f>IF(C28="","","L"&amp;TEXT(ROW()-1,"000"))</f>
        <v/>
      </c>
      <c r="B28" s="19" t="n"/>
      <c r="K28" s="19" t="n"/>
      <c r="M28" s="18">
        <f>IF(OR(K28="",J28="Inscrito",J28="Perdido"),"",TODAY()-K28)</f>
        <v/>
      </c>
    </row>
    <row r="29">
      <c r="A29" s="18">
        <f>IF(C29="","","L"&amp;TEXT(ROW()-1,"000"))</f>
        <v/>
      </c>
      <c r="B29" s="19" t="n"/>
      <c r="K29" s="19" t="n"/>
      <c r="M29" s="18">
        <f>IF(OR(K29="",J29="Inscrito",J29="Perdido"),"",TODAY()-K29)</f>
        <v/>
      </c>
    </row>
    <row r="30">
      <c r="A30" s="18">
        <f>IF(C30="","","L"&amp;TEXT(ROW()-1,"000"))</f>
        <v/>
      </c>
      <c r="B30" s="19" t="n"/>
      <c r="K30" s="19" t="n"/>
      <c r="M30" s="18">
        <f>IF(OR(K30="",J30="Inscrito",J30="Perdido"),"",TODAY()-K30)</f>
        <v/>
      </c>
    </row>
    <row r="31">
      <c r="A31" s="18">
        <f>IF(C31="","","L"&amp;TEXT(ROW()-1,"000"))</f>
        <v/>
      </c>
      <c r="B31" s="19" t="n"/>
      <c r="K31" s="19" t="n"/>
      <c r="M31" s="18">
        <f>IF(OR(K31="",J31="Inscrito",J31="Perdido"),"",TODAY()-K31)</f>
        <v/>
      </c>
    </row>
    <row r="32">
      <c r="A32" s="18">
        <f>IF(C32="","","L"&amp;TEXT(ROW()-1,"000"))</f>
        <v/>
      </c>
      <c r="B32" s="19" t="n"/>
      <c r="K32" s="19" t="n"/>
      <c r="M32" s="18">
        <f>IF(OR(K32="",J32="Inscrito",J32="Perdido"),"",TODAY()-K32)</f>
        <v/>
      </c>
    </row>
    <row r="33">
      <c r="A33" s="18">
        <f>IF(C33="","","L"&amp;TEXT(ROW()-1,"000"))</f>
        <v/>
      </c>
      <c r="B33" s="19" t="n"/>
      <c r="K33" s="19" t="n"/>
      <c r="M33" s="18">
        <f>IF(OR(K33="",J33="Inscrito",J33="Perdido"),"",TODAY()-K33)</f>
        <v/>
      </c>
    </row>
    <row r="34">
      <c r="A34" s="18">
        <f>IF(C34="","","L"&amp;TEXT(ROW()-1,"000"))</f>
        <v/>
      </c>
      <c r="B34" s="19" t="n"/>
      <c r="K34" s="19" t="n"/>
      <c r="M34" s="18">
        <f>IF(OR(K34="",J34="Inscrito",J34="Perdido"),"",TODAY()-K34)</f>
        <v/>
      </c>
    </row>
    <row r="35">
      <c r="A35" s="18">
        <f>IF(C35="","","L"&amp;TEXT(ROW()-1,"000"))</f>
        <v/>
      </c>
      <c r="B35" s="19" t="n"/>
      <c r="K35" s="19" t="n"/>
      <c r="M35" s="18">
        <f>IF(OR(K35="",J35="Inscrito",J35="Perdido"),"",TODAY()-K35)</f>
        <v/>
      </c>
    </row>
    <row r="36">
      <c r="A36" s="18">
        <f>IF(C36="","","L"&amp;TEXT(ROW()-1,"000"))</f>
        <v/>
      </c>
      <c r="B36" s="19" t="n"/>
      <c r="K36" s="19" t="n"/>
      <c r="M36" s="18">
        <f>IF(OR(K36="",J36="Inscrito",J36="Perdido"),"",TODAY()-K36)</f>
        <v/>
      </c>
    </row>
    <row r="37">
      <c r="A37" s="18">
        <f>IF(C37="","","L"&amp;TEXT(ROW()-1,"000"))</f>
        <v/>
      </c>
      <c r="B37" s="19" t="n"/>
      <c r="K37" s="19" t="n"/>
      <c r="M37" s="18">
        <f>IF(OR(K37="",J37="Inscrito",J37="Perdido"),"",TODAY()-K37)</f>
        <v/>
      </c>
    </row>
    <row r="38">
      <c r="A38" s="18">
        <f>IF(C38="","","L"&amp;TEXT(ROW()-1,"000"))</f>
        <v/>
      </c>
      <c r="B38" s="19" t="n"/>
      <c r="K38" s="19" t="n"/>
      <c r="M38" s="18">
        <f>IF(OR(K38="",J38="Inscrito",J38="Perdido"),"",TODAY()-K38)</f>
        <v/>
      </c>
    </row>
    <row r="39">
      <c r="A39" s="18">
        <f>IF(C39="","","L"&amp;TEXT(ROW()-1,"000"))</f>
        <v/>
      </c>
      <c r="B39" s="19" t="n"/>
      <c r="K39" s="19" t="n"/>
      <c r="M39" s="18">
        <f>IF(OR(K39="",J39="Inscrito",J39="Perdido"),"",TODAY()-K39)</f>
        <v/>
      </c>
    </row>
    <row r="40">
      <c r="A40" s="18">
        <f>IF(C40="","","L"&amp;TEXT(ROW()-1,"000"))</f>
        <v/>
      </c>
      <c r="B40" s="19" t="n"/>
      <c r="K40" s="19" t="n"/>
      <c r="M40" s="18">
        <f>IF(OR(K40="",J40="Inscrito",J40="Perdido"),"",TODAY()-K40)</f>
        <v/>
      </c>
    </row>
    <row r="41">
      <c r="A41" s="18">
        <f>IF(C41="","","L"&amp;TEXT(ROW()-1,"000"))</f>
        <v/>
      </c>
      <c r="B41" s="19" t="n"/>
      <c r="K41" s="19" t="n"/>
      <c r="M41" s="18">
        <f>IF(OR(K41="",J41="Inscrito",J41="Perdido"),"",TODAY()-K41)</f>
        <v/>
      </c>
    </row>
    <row r="42">
      <c r="A42" s="18">
        <f>IF(C42="","","L"&amp;TEXT(ROW()-1,"000"))</f>
        <v/>
      </c>
      <c r="B42" s="19" t="n"/>
      <c r="K42" s="19" t="n"/>
      <c r="M42" s="18">
        <f>IF(OR(K42="",J42="Inscrito",J42="Perdido"),"",TODAY()-K42)</f>
        <v/>
      </c>
    </row>
    <row r="43">
      <c r="A43" s="18">
        <f>IF(C43="","","L"&amp;TEXT(ROW()-1,"000"))</f>
        <v/>
      </c>
      <c r="B43" s="19" t="n"/>
      <c r="K43" s="19" t="n"/>
      <c r="M43" s="18">
        <f>IF(OR(K43="",J43="Inscrito",J43="Perdido"),"",TODAY()-K43)</f>
        <v/>
      </c>
    </row>
    <row r="44">
      <c r="A44" s="18">
        <f>IF(C44="","","L"&amp;TEXT(ROW()-1,"000"))</f>
        <v/>
      </c>
      <c r="B44" s="19" t="n"/>
      <c r="K44" s="19" t="n"/>
      <c r="M44" s="18">
        <f>IF(OR(K44="",J44="Inscrito",J44="Perdido"),"",TODAY()-K44)</f>
        <v/>
      </c>
    </row>
    <row r="45">
      <c r="A45" s="18">
        <f>IF(C45="","","L"&amp;TEXT(ROW()-1,"000"))</f>
        <v/>
      </c>
      <c r="B45" s="19" t="n"/>
      <c r="K45" s="19" t="n"/>
      <c r="M45" s="18">
        <f>IF(OR(K45="",J45="Inscrito",J45="Perdido"),"",TODAY()-K45)</f>
        <v/>
      </c>
    </row>
    <row r="46">
      <c r="A46" s="18">
        <f>IF(C46="","","L"&amp;TEXT(ROW()-1,"000"))</f>
        <v/>
      </c>
      <c r="B46" s="19" t="n"/>
      <c r="K46" s="19" t="n"/>
      <c r="M46" s="18">
        <f>IF(OR(K46="",J46="Inscrito",J46="Perdido"),"",TODAY()-K46)</f>
        <v/>
      </c>
    </row>
    <row r="47">
      <c r="A47" s="18">
        <f>IF(C47="","","L"&amp;TEXT(ROW()-1,"000"))</f>
        <v/>
      </c>
      <c r="B47" s="19" t="n"/>
      <c r="K47" s="19" t="n"/>
      <c r="M47" s="18">
        <f>IF(OR(K47="",J47="Inscrito",J47="Perdido"),"",TODAY()-K47)</f>
        <v/>
      </c>
    </row>
    <row r="48">
      <c r="A48" s="18">
        <f>IF(C48="","","L"&amp;TEXT(ROW()-1,"000"))</f>
        <v/>
      </c>
      <c r="B48" s="19" t="n"/>
      <c r="K48" s="19" t="n"/>
      <c r="M48" s="18">
        <f>IF(OR(K48="",J48="Inscrito",J48="Perdido"),"",TODAY()-K48)</f>
        <v/>
      </c>
    </row>
    <row r="49">
      <c r="A49" s="18">
        <f>IF(C49="","","L"&amp;TEXT(ROW()-1,"000"))</f>
        <v/>
      </c>
      <c r="B49" s="19" t="n"/>
      <c r="K49" s="19" t="n"/>
      <c r="M49" s="18">
        <f>IF(OR(K49="",J49="Inscrito",J49="Perdido"),"",TODAY()-K49)</f>
        <v/>
      </c>
    </row>
    <row r="50">
      <c r="A50" s="18">
        <f>IF(C50="","","L"&amp;TEXT(ROW()-1,"000"))</f>
        <v/>
      </c>
      <c r="B50" s="19" t="n"/>
      <c r="K50" s="19" t="n"/>
      <c r="M50" s="18">
        <f>IF(OR(K50="",J50="Inscrito",J50="Perdido"),"",TODAY()-K50)</f>
        <v/>
      </c>
    </row>
    <row r="51">
      <c r="A51" s="18">
        <f>IF(C51="","","L"&amp;TEXT(ROW()-1,"000"))</f>
        <v/>
      </c>
      <c r="B51" s="19" t="n"/>
      <c r="K51" s="19" t="n"/>
      <c r="M51" s="18">
        <f>IF(OR(K51="",J51="Inscrito",J51="Perdido"),"",TODAY()-K51)</f>
        <v/>
      </c>
    </row>
    <row r="52">
      <c r="A52" s="18">
        <f>IF(C52="","","L"&amp;TEXT(ROW()-1,"000"))</f>
        <v/>
      </c>
      <c r="B52" s="19" t="n"/>
      <c r="K52" s="19" t="n"/>
      <c r="M52" s="18">
        <f>IF(OR(K52="",J52="Inscrito",J52="Perdido"),"",TODAY()-K52)</f>
        <v/>
      </c>
    </row>
    <row r="53">
      <c r="A53" s="18">
        <f>IF(C53="","","L"&amp;TEXT(ROW()-1,"000"))</f>
        <v/>
      </c>
      <c r="B53" s="19" t="n"/>
      <c r="K53" s="19" t="n"/>
      <c r="M53" s="18">
        <f>IF(OR(K53="",J53="Inscrito",J53="Perdido"),"",TODAY()-K53)</f>
        <v/>
      </c>
    </row>
    <row r="54">
      <c r="A54" s="18">
        <f>IF(C54="","","L"&amp;TEXT(ROW()-1,"000"))</f>
        <v/>
      </c>
      <c r="B54" s="19" t="n"/>
      <c r="K54" s="19" t="n"/>
      <c r="M54" s="18">
        <f>IF(OR(K54="",J54="Inscrito",J54="Perdido"),"",TODAY()-K54)</f>
        <v/>
      </c>
    </row>
    <row r="55">
      <c r="A55" s="18">
        <f>IF(C55="","","L"&amp;TEXT(ROW()-1,"000"))</f>
        <v/>
      </c>
      <c r="B55" s="19" t="n"/>
      <c r="K55" s="19" t="n"/>
      <c r="M55" s="18">
        <f>IF(OR(K55="",J55="Inscrito",J55="Perdido"),"",TODAY()-K55)</f>
        <v/>
      </c>
    </row>
    <row r="56">
      <c r="A56" s="18">
        <f>IF(C56="","","L"&amp;TEXT(ROW()-1,"000"))</f>
        <v/>
      </c>
      <c r="B56" s="19" t="n"/>
      <c r="K56" s="19" t="n"/>
      <c r="M56" s="18">
        <f>IF(OR(K56="",J56="Inscrito",J56="Perdido"),"",TODAY()-K56)</f>
        <v/>
      </c>
    </row>
    <row r="57">
      <c r="A57" s="18">
        <f>IF(C57="","","L"&amp;TEXT(ROW()-1,"000"))</f>
        <v/>
      </c>
      <c r="B57" s="19" t="n"/>
      <c r="K57" s="19" t="n"/>
      <c r="M57" s="18">
        <f>IF(OR(K57="",J57="Inscrito",J57="Perdido"),"",TODAY()-K57)</f>
        <v/>
      </c>
    </row>
    <row r="58">
      <c r="A58" s="18">
        <f>IF(C58="","","L"&amp;TEXT(ROW()-1,"000"))</f>
        <v/>
      </c>
      <c r="B58" s="19" t="n"/>
      <c r="K58" s="19" t="n"/>
      <c r="M58" s="18">
        <f>IF(OR(K58="",J58="Inscrito",J58="Perdido"),"",TODAY()-K58)</f>
        <v/>
      </c>
    </row>
    <row r="59">
      <c r="A59" s="18">
        <f>IF(C59="","","L"&amp;TEXT(ROW()-1,"000"))</f>
        <v/>
      </c>
      <c r="B59" s="19" t="n"/>
      <c r="K59" s="19" t="n"/>
      <c r="M59" s="18">
        <f>IF(OR(K59="",J59="Inscrito",J59="Perdido"),"",TODAY()-K59)</f>
        <v/>
      </c>
    </row>
    <row r="60">
      <c r="A60" s="18">
        <f>IF(C60="","","L"&amp;TEXT(ROW()-1,"000"))</f>
        <v/>
      </c>
      <c r="B60" s="19" t="n"/>
      <c r="K60" s="19" t="n"/>
      <c r="M60" s="18">
        <f>IF(OR(K60="",J60="Inscrito",J60="Perdido"),"",TODAY()-K60)</f>
        <v/>
      </c>
    </row>
    <row r="61">
      <c r="A61" s="18">
        <f>IF(C61="","","L"&amp;TEXT(ROW()-1,"000"))</f>
        <v/>
      </c>
      <c r="B61" s="19" t="n"/>
      <c r="K61" s="19" t="n"/>
      <c r="M61" s="18">
        <f>IF(OR(K61="",J61="Inscrito",J61="Perdido"),"",TODAY()-K61)</f>
        <v/>
      </c>
    </row>
    <row r="62">
      <c r="A62" s="18">
        <f>IF(C62="","","L"&amp;TEXT(ROW()-1,"000"))</f>
        <v/>
      </c>
      <c r="B62" s="19" t="n"/>
      <c r="K62" s="19" t="n"/>
      <c r="M62" s="18">
        <f>IF(OR(K62="",J62="Inscrito",J62="Perdido"),"",TODAY()-K62)</f>
        <v/>
      </c>
    </row>
    <row r="63">
      <c r="A63" s="18">
        <f>IF(C63="","","L"&amp;TEXT(ROW()-1,"000"))</f>
        <v/>
      </c>
      <c r="B63" s="19" t="n"/>
      <c r="K63" s="19" t="n"/>
      <c r="M63" s="18">
        <f>IF(OR(K63="",J63="Inscrito",J63="Perdido"),"",TODAY()-K63)</f>
        <v/>
      </c>
    </row>
    <row r="64">
      <c r="A64" s="18">
        <f>IF(C64="","","L"&amp;TEXT(ROW()-1,"000"))</f>
        <v/>
      </c>
      <c r="B64" s="19" t="n"/>
      <c r="K64" s="19" t="n"/>
      <c r="M64" s="18">
        <f>IF(OR(K64="",J64="Inscrito",J64="Perdido"),"",TODAY()-K64)</f>
        <v/>
      </c>
    </row>
    <row r="65">
      <c r="A65" s="18">
        <f>IF(C65="","","L"&amp;TEXT(ROW()-1,"000"))</f>
        <v/>
      </c>
      <c r="B65" s="19" t="n"/>
      <c r="K65" s="19" t="n"/>
      <c r="M65" s="18">
        <f>IF(OR(K65="",J65="Inscrito",J65="Perdido"),"",TODAY()-K65)</f>
        <v/>
      </c>
    </row>
    <row r="66">
      <c r="A66" s="18">
        <f>IF(C66="","","L"&amp;TEXT(ROW()-1,"000"))</f>
        <v/>
      </c>
      <c r="B66" s="19" t="n"/>
      <c r="K66" s="19" t="n"/>
      <c r="M66" s="18">
        <f>IF(OR(K66="",J66="Inscrito",J66="Perdido"),"",TODAY()-K66)</f>
        <v/>
      </c>
    </row>
    <row r="67">
      <c r="A67" s="18">
        <f>IF(C67="","","L"&amp;TEXT(ROW()-1,"000"))</f>
        <v/>
      </c>
      <c r="B67" s="19" t="n"/>
      <c r="K67" s="19" t="n"/>
      <c r="M67" s="18">
        <f>IF(OR(K67="",J67="Inscrito",J67="Perdido"),"",TODAY()-K67)</f>
        <v/>
      </c>
    </row>
    <row r="68">
      <c r="A68" s="18">
        <f>IF(C68="","","L"&amp;TEXT(ROW()-1,"000"))</f>
        <v/>
      </c>
      <c r="B68" s="19" t="n"/>
      <c r="K68" s="19" t="n"/>
      <c r="M68" s="18">
        <f>IF(OR(K68="",J68="Inscrito",J68="Perdido"),"",TODAY()-K68)</f>
        <v/>
      </c>
    </row>
    <row r="69">
      <c r="A69" s="18">
        <f>IF(C69="","","L"&amp;TEXT(ROW()-1,"000"))</f>
        <v/>
      </c>
      <c r="B69" s="19" t="n"/>
      <c r="K69" s="19" t="n"/>
      <c r="M69" s="18">
        <f>IF(OR(K69="",J69="Inscrito",J69="Perdido"),"",TODAY()-K69)</f>
        <v/>
      </c>
    </row>
    <row r="70">
      <c r="A70" s="18">
        <f>IF(C70="","","L"&amp;TEXT(ROW()-1,"000"))</f>
        <v/>
      </c>
      <c r="B70" s="19" t="n"/>
      <c r="K70" s="19" t="n"/>
      <c r="M70" s="18">
        <f>IF(OR(K70="",J70="Inscrito",J70="Perdido"),"",TODAY()-K70)</f>
        <v/>
      </c>
    </row>
    <row r="71">
      <c r="A71" s="18">
        <f>IF(C71="","","L"&amp;TEXT(ROW()-1,"000"))</f>
        <v/>
      </c>
      <c r="B71" s="19" t="n"/>
      <c r="K71" s="19" t="n"/>
      <c r="M71" s="18">
        <f>IF(OR(K71="",J71="Inscrito",J71="Perdido"),"",TODAY()-K71)</f>
        <v/>
      </c>
    </row>
    <row r="72">
      <c r="A72" s="18">
        <f>IF(C72="","","L"&amp;TEXT(ROW()-1,"000"))</f>
        <v/>
      </c>
      <c r="B72" s="19" t="n"/>
      <c r="K72" s="19" t="n"/>
      <c r="M72" s="18">
        <f>IF(OR(K72="",J72="Inscrito",J72="Perdido"),"",TODAY()-K72)</f>
        <v/>
      </c>
    </row>
    <row r="73">
      <c r="A73" s="18">
        <f>IF(C73="","","L"&amp;TEXT(ROW()-1,"000"))</f>
        <v/>
      </c>
      <c r="B73" s="19" t="n"/>
      <c r="K73" s="19" t="n"/>
      <c r="M73" s="18">
        <f>IF(OR(K73="",J73="Inscrito",J73="Perdido"),"",TODAY()-K73)</f>
        <v/>
      </c>
    </row>
    <row r="74">
      <c r="A74" s="18">
        <f>IF(C74="","","L"&amp;TEXT(ROW()-1,"000"))</f>
        <v/>
      </c>
      <c r="B74" s="19" t="n"/>
      <c r="K74" s="19" t="n"/>
      <c r="M74" s="18">
        <f>IF(OR(K74="",J74="Inscrito",J74="Perdido"),"",TODAY()-K74)</f>
        <v/>
      </c>
    </row>
    <row r="75">
      <c r="A75" s="18">
        <f>IF(C75="","","L"&amp;TEXT(ROW()-1,"000"))</f>
        <v/>
      </c>
      <c r="B75" s="19" t="n"/>
      <c r="K75" s="19" t="n"/>
      <c r="M75" s="18">
        <f>IF(OR(K75="",J75="Inscrito",J75="Perdido"),"",TODAY()-K75)</f>
        <v/>
      </c>
    </row>
    <row r="76">
      <c r="A76" s="18">
        <f>IF(C76="","","L"&amp;TEXT(ROW()-1,"000"))</f>
        <v/>
      </c>
      <c r="B76" s="19" t="n"/>
      <c r="K76" s="19" t="n"/>
      <c r="M76" s="18">
        <f>IF(OR(K76="",J76="Inscrito",J76="Perdido"),"",TODAY()-K76)</f>
        <v/>
      </c>
    </row>
    <row r="77">
      <c r="A77" s="18">
        <f>IF(C77="","","L"&amp;TEXT(ROW()-1,"000"))</f>
        <v/>
      </c>
      <c r="B77" s="19" t="n"/>
      <c r="K77" s="19" t="n"/>
      <c r="M77" s="18">
        <f>IF(OR(K77="",J77="Inscrito",J77="Perdido"),"",TODAY()-K77)</f>
        <v/>
      </c>
    </row>
    <row r="78">
      <c r="A78" s="18">
        <f>IF(C78="","","L"&amp;TEXT(ROW()-1,"000"))</f>
        <v/>
      </c>
      <c r="B78" s="19" t="n"/>
      <c r="K78" s="19" t="n"/>
      <c r="M78" s="18">
        <f>IF(OR(K78="",J78="Inscrito",J78="Perdido"),"",TODAY()-K78)</f>
        <v/>
      </c>
    </row>
    <row r="79">
      <c r="A79" s="18">
        <f>IF(C79="","","L"&amp;TEXT(ROW()-1,"000"))</f>
        <v/>
      </c>
      <c r="B79" s="19" t="n"/>
      <c r="K79" s="19" t="n"/>
      <c r="M79" s="18">
        <f>IF(OR(K79="",J79="Inscrito",J79="Perdido"),"",TODAY()-K79)</f>
        <v/>
      </c>
    </row>
    <row r="80">
      <c r="A80" s="18">
        <f>IF(C80="","","L"&amp;TEXT(ROW()-1,"000"))</f>
        <v/>
      </c>
      <c r="B80" s="19" t="n"/>
      <c r="K80" s="19" t="n"/>
      <c r="M80" s="18">
        <f>IF(OR(K80="",J80="Inscrito",J80="Perdido"),"",TODAY()-K80)</f>
        <v/>
      </c>
    </row>
    <row r="81">
      <c r="A81" s="18">
        <f>IF(C81="","","L"&amp;TEXT(ROW()-1,"000"))</f>
        <v/>
      </c>
      <c r="B81" s="19" t="n"/>
      <c r="K81" s="19" t="n"/>
      <c r="M81" s="18">
        <f>IF(OR(K81="",J81="Inscrito",J81="Perdido"),"",TODAY()-K81)</f>
        <v/>
      </c>
    </row>
    <row r="82">
      <c r="A82" s="18">
        <f>IF(C82="","","L"&amp;TEXT(ROW()-1,"000"))</f>
        <v/>
      </c>
      <c r="B82" s="19" t="n"/>
      <c r="K82" s="19" t="n"/>
      <c r="M82" s="18">
        <f>IF(OR(K82="",J82="Inscrito",J82="Perdido"),"",TODAY()-K82)</f>
        <v/>
      </c>
    </row>
    <row r="83">
      <c r="A83" s="18">
        <f>IF(C83="","","L"&amp;TEXT(ROW()-1,"000"))</f>
        <v/>
      </c>
      <c r="B83" s="19" t="n"/>
      <c r="K83" s="19" t="n"/>
      <c r="M83" s="18">
        <f>IF(OR(K83="",J83="Inscrito",J83="Perdido"),"",TODAY()-K83)</f>
        <v/>
      </c>
    </row>
    <row r="84">
      <c r="A84" s="18">
        <f>IF(C84="","","L"&amp;TEXT(ROW()-1,"000"))</f>
        <v/>
      </c>
      <c r="B84" s="19" t="n"/>
      <c r="K84" s="19" t="n"/>
      <c r="M84" s="18">
        <f>IF(OR(K84="",J84="Inscrito",J84="Perdido"),"",TODAY()-K84)</f>
        <v/>
      </c>
    </row>
    <row r="85">
      <c r="A85" s="18">
        <f>IF(C85="","","L"&amp;TEXT(ROW()-1,"000"))</f>
        <v/>
      </c>
      <c r="B85" s="19" t="n"/>
      <c r="K85" s="19" t="n"/>
      <c r="M85" s="18">
        <f>IF(OR(K85="",J85="Inscrito",J85="Perdido"),"",TODAY()-K85)</f>
        <v/>
      </c>
    </row>
    <row r="86">
      <c r="A86" s="18">
        <f>IF(C86="","","L"&amp;TEXT(ROW()-1,"000"))</f>
        <v/>
      </c>
      <c r="B86" s="19" t="n"/>
      <c r="K86" s="19" t="n"/>
      <c r="M86" s="18">
        <f>IF(OR(K86="",J86="Inscrito",J86="Perdido"),"",TODAY()-K86)</f>
        <v/>
      </c>
    </row>
    <row r="87">
      <c r="A87" s="18">
        <f>IF(C87="","","L"&amp;TEXT(ROW()-1,"000"))</f>
        <v/>
      </c>
      <c r="B87" s="19" t="n"/>
      <c r="K87" s="19" t="n"/>
      <c r="M87" s="18">
        <f>IF(OR(K87="",J87="Inscrito",J87="Perdido"),"",TODAY()-K87)</f>
        <v/>
      </c>
    </row>
    <row r="88">
      <c r="A88" s="18">
        <f>IF(C88="","","L"&amp;TEXT(ROW()-1,"000"))</f>
        <v/>
      </c>
      <c r="B88" s="19" t="n"/>
      <c r="K88" s="19" t="n"/>
      <c r="M88" s="18">
        <f>IF(OR(K88="",J88="Inscrito",J88="Perdido"),"",TODAY()-K88)</f>
        <v/>
      </c>
    </row>
    <row r="89">
      <c r="A89" s="18">
        <f>IF(C89="","","L"&amp;TEXT(ROW()-1,"000"))</f>
        <v/>
      </c>
      <c r="B89" s="19" t="n"/>
      <c r="K89" s="19" t="n"/>
      <c r="M89" s="18">
        <f>IF(OR(K89="",J89="Inscrito",J89="Perdido"),"",TODAY()-K89)</f>
        <v/>
      </c>
    </row>
    <row r="90">
      <c r="A90" s="18">
        <f>IF(C90="","","L"&amp;TEXT(ROW()-1,"000"))</f>
        <v/>
      </c>
      <c r="B90" s="19" t="n"/>
      <c r="K90" s="19" t="n"/>
      <c r="M90" s="18">
        <f>IF(OR(K90="",J90="Inscrito",J90="Perdido"),"",TODAY()-K90)</f>
        <v/>
      </c>
    </row>
    <row r="91">
      <c r="A91" s="18">
        <f>IF(C91="","","L"&amp;TEXT(ROW()-1,"000"))</f>
        <v/>
      </c>
      <c r="B91" s="19" t="n"/>
      <c r="K91" s="19" t="n"/>
      <c r="M91" s="18">
        <f>IF(OR(K91="",J91="Inscrito",J91="Perdido"),"",TODAY()-K91)</f>
        <v/>
      </c>
    </row>
    <row r="92">
      <c r="A92" s="18">
        <f>IF(C92="","","L"&amp;TEXT(ROW()-1,"000"))</f>
        <v/>
      </c>
      <c r="B92" s="19" t="n"/>
      <c r="K92" s="19" t="n"/>
      <c r="M92" s="18">
        <f>IF(OR(K92="",J92="Inscrito",J92="Perdido"),"",TODAY()-K92)</f>
        <v/>
      </c>
    </row>
    <row r="93">
      <c r="A93" s="18">
        <f>IF(C93="","","L"&amp;TEXT(ROW()-1,"000"))</f>
        <v/>
      </c>
      <c r="B93" s="19" t="n"/>
      <c r="K93" s="19" t="n"/>
      <c r="M93" s="18">
        <f>IF(OR(K93="",J93="Inscrito",J93="Perdido"),"",TODAY()-K93)</f>
        <v/>
      </c>
    </row>
    <row r="94">
      <c r="A94" s="18">
        <f>IF(C94="","","L"&amp;TEXT(ROW()-1,"000"))</f>
        <v/>
      </c>
      <c r="B94" s="19" t="n"/>
      <c r="K94" s="19" t="n"/>
      <c r="M94" s="18">
        <f>IF(OR(K94="",J94="Inscrito",J94="Perdido"),"",TODAY()-K94)</f>
        <v/>
      </c>
    </row>
    <row r="95">
      <c r="A95" s="18">
        <f>IF(C95="","","L"&amp;TEXT(ROW()-1,"000"))</f>
        <v/>
      </c>
      <c r="B95" s="19" t="n"/>
      <c r="K95" s="19" t="n"/>
      <c r="M95" s="18">
        <f>IF(OR(K95="",J95="Inscrito",J95="Perdido"),"",TODAY()-K95)</f>
        <v/>
      </c>
    </row>
    <row r="96">
      <c r="A96" s="18">
        <f>IF(C96="","","L"&amp;TEXT(ROW()-1,"000"))</f>
        <v/>
      </c>
      <c r="B96" s="19" t="n"/>
      <c r="K96" s="19" t="n"/>
      <c r="M96" s="18">
        <f>IF(OR(K96="",J96="Inscrito",J96="Perdido"),"",TODAY()-K96)</f>
        <v/>
      </c>
    </row>
    <row r="97">
      <c r="A97" s="18">
        <f>IF(C97="","","L"&amp;TEXT(ROW()-1,"000"))</f>
        <v/>
      </c>
      <c r="B97" s="19" t="n"/>
      <c r="K97" s="19" t="n"/>
      <c r="M97" s="18">
        <f>IF(OR(K97="",J97="Inscrito",J97="Perdido"),"",TODAY()-K97)</f>
        <v/>
      </c>
    </row>
    <row r="98">
      <c r="A98" s="18">
        <f>IF(C98="","","L"&amp;TEXT(ROW()-1,"000"))</f>
        <v/>
      </c>
      <c r="B98" s="19" t="n"/>
      <c r="K98" s="19" t="n"/>
      <c r="M98" s="18">
        <f>IF(OR(K98="",J98="Inscrito",J98="Perdido"),"",TODAY()-K98)</f>
        <v/>
      </c>
    </row>
    <row r="99">
      <c r="A99" s="18">
        <f>IF(C99="","","L"&amp;TEXT(ROW()-1,"000"))</f>
        <v/>
      </c>
      <c r="B99" s="19" t="n"/>
      <c r="K99" s="19" t="n"/>
      <c r="M99" s="18">
        <f>IF(OR(K99="",J99="Inscrito",J99="Perdido"),"",TODAY()-K99)</f>
        <v/>
      </c>
    </row>
    <row r="100">
      <c r="A100" s="18">
        <f>IF(C100="","","L"&amp;TEXT(ROW()-1,"000"))</f>
        <v/>
      </c>
      <c r="B100" s="19" t="n"/>
      <c r="K100" s="19" t="n"/>
      <c r="M100" s="18">
        <f>IF(OR(K100="",J100="Inscrito",J100="Perdido"),"",TODAY()-K100)</f>
        <v/>
      </c>
    </row>
    <row r="101">
      <c r="A101" s="18">
        <f>IF(C101="","","L"&amp;TEXT(ROW()-1,"000"))</f>
        <v/>
      </c>
      <c r="B101" s="19" t="n"/>
      <c r="K101" s="19" t="n"/>
      <c r="M101" s="18">
        <f>IF(OR(K101="",J101="Inscrito",J101="Perdido"),"",TODAY()-K101)</f>
        <v/>
      </c>
    </row>
    <row r="102">
      <c r="A102" s="18">
        <f>IF(C102="","","L"&amp;TEXT(ROW()-1,"000"))</f>
        <v/>
      </c>
      <c r="B102" s="19" t="n"/>
      <c r="K102" s="19" t="n"/>
      <c r="M102" s="18">
        <f>IF(OR(K102="",J102="Inscrito",J102="Perdido"),"",TODAY()-K102)</f>
        <v/>
      </c>
    </row>
    <row r="103">
      <c r="A103" s="18">
        <f>IF(C103="","","L"&amp;TEXT(ROW()-1,"000"))</f>
        <v/>
      </c>
      <c r="B103" s="19" t="n"/>
      <c r="K103" s="19" t="n"/>
      <c r="M103" s="18">
        <f>IF(OR(K103="",J103="Inscrito",J103="Perdido"),"",TODAY()-K103)</f>
        <v/>
      </c>
    </row>
    <row r="104">
      <c r="A104" s="18">
        <f>IF(C104="","","L"&amp;TEXT(ROW()-1,"000"))</f>
        <v/>
      </c>
      <c r="B104" s="19" t="n"/>
      <c r="K104" s="19" t="n"/>
      <c r="M104" s="18">
        <f>IF(OR(K104="",J104="Inscrito",J104="Perdido"),"",TODAY()-K104)</f>
        <v/>
      </c>
    </row>
    <row r="105">
      <c r="A105" s="18">
        <f>IF(C105="","","L"&amp;TEXT(ROW()-1,"000"))</f>
        <v/>
      </c>
      <c r="B105" s="19" t="n"/>
      <c r="K105" s="19" t="n"/>
      <c r="M105" s="18">
        <f>IF(OR(K105="",J105="Inscrito",J105="Perdido"),"",TODAY()-K105)</f>
        <v/>
      </c>
    </row>
    <row r="106">
      <c r="A106" s="18">
        <f>IF(C106="","","L"&amp;TEXT(ROW()-1,"000"))</f>
        <v/>
      </c>
      <c r="B106" s="19" t="n"/>
      <c r="K106" s="19" t="n"/>
      <c r="M106" s="18">
        <f>IF(OR(K106="",J106="Inscrito",J106="Perdido"),"",TODAY()-K106)</f>
        <v/>
      </c>
    </row>
    <row r="107">
      <c r="A107" s="18">
        <f>IF(C107="","","L"&amp;TEXT(ROW()-1,"000"))</f>
        <v/>
      </c>
      <c r="B107" s="19" t="n"/>
      <c r="K107" s="19" t="n"/>
      <c r="M107" s="18">
        <f>IF(OR(K107="",J107="Inscrito",J107="Perdido"),"",TODAY()-K107)</f>
        <v/>
      </c>
    </row>
    <row r="108">
      <c r="A108" s="18">
        <f>IF(C108="","","L"&amp;TEXT(ROW()-1,"000"))</f>
        <v/>
      </c>
      <c r="B108" s="19" t="n"/>
      <c r="K108" s="19" t="n"/>
      <c r="M108" s="18">
        <f>IF(OR(K108="",J108="Inscrito",J108="Perdido"),"",TODAY()-K108)</f>
        <v/>
      </c>
    </row>
    <row r="109">
      <c r="A109" s="18">
        <f>IF(C109="","","L"&amp;TEXT(ROW()-1,"000"))</f>
        <v/>
      </c>
      <c r="B109" s="19" t="n"/>
      <c r="K109" s="19" t="n"/>
      <c r="M109" s="18">
        <f>IF(OR(K109="",J109="Inscrito",J109="Perdido"),"",TODAY()-K109)</f>
        <v/>
      </c>
    </row>
    <row r="110">
      <c r="A110" s="18">
        <f>IF(C110="","","L"&amp;TEXT(ROW()-1,"000"))</f>
        <v/>
      </c>
      <c r="B110" s="19" t="n"/>
      <c r="K110" s="19" t="n"/>
      <c r="M110" s="18">
        <f>IF(OR(K110="",J110="Inscrito",J110="Perdido"),"",TODAY()-K110)</f>
        <v/>
      </c>
    </row>
    <row r="111">
      <c r="A111" s="18">
        <f>IF(C111="","","L"&amp;TEXT(ROW()-1,"000"))</f>
        <v/>
      </c>
      <c r="B111" s="19" t="n"/>
      <c r="K111" s="19" t="n"/>
      <c r="M111" s="18">
        <f>IF(OR(K111="",J111="Inscrito",J111="Perdido"),"",TODAY()-K111)</f>
        <v/>
      </c>
    </row>
    <row r="112">
      <c r="A112" s="18">
        <f>IF(C112="","","L"&amp;TEXT(ROW()-1,"000"))</f>
        <v/>
      </c>
      <c r="B112" s="19" t="n"/>
      <c r="K112" s="19" t="n"/>
      <c r="M112" s="18">
        <f>IF(OR(K112="",J112="Inscrito",J112="Perdido"),"",TODAY()-K112)</f>
        <v/>
      </c>
    </row>
    <row r="113">
      <c r="A113" s="18">
        <f>IF(C113="","","L"&amp;TEXT(ROW()-1,"000"))</f>
        <v/>
      </c>
      <c r="B113" s="19" t="n"/>
      <c r="K113" s="19" t="n"/>
      <c r="M113" s="18">
        <f>IF(OR(K113="",J113="Inscrito",J113="Perdido"),"",TODAY()-K113)</f>
        <v/>
      </c>
    </row>
    <row r="114">
      <c r="A114" s="18">
        <f>IF(C114="","","L"&amp;TEXT(ROW()-1,"000"))</f>
        <v/>
      </c>
      <c r="B114" s="19" t="n"/>
      <c r="K114" s="19" t="n"/>
      <c r="M114" s="18">
        <f>IF(OR(K114="",J114="Inscrito",J114="Perdido"),"",TODAY()-K114)</f>
        <v/>
      </c>
    </row>
    <row r="115">
      <c r="A115" s="18">
        <f>IF(C115="","","L"&amp;TEXT(ROW()-1,"000"))</f>
        <v/>
      </c>
      <c r="B115" s="19" t="n"/>
      <c r="K115" s="19" t="n"/>
      <c r="M115" s="18">
        <f>IF(OR(K115="",J115="Inscrito",J115="Perdido"),"",TODAY()-K115)</f>
        <v/>
      </c>
    </row>
    <row r="116">
      <c r="A116" s="18">
        <f>IF(C116="","","L"&amp;TEXT(ROW()-1,"000"))</f>
        <v/>
      </c>
      <c r="B116" s="19" t="n"/>
      <c r="K116" s="19" t="n"/>
      <c r="M116" s="18">
        <f>IF(OR(K116="",J116="Inscrito",J116="Perdido"),"",TODAY()-K116)</f>
        <v/>
      </c>
    </row>
    <row r="117">
      <c r="A117" s="18">
        <f>IF(C117="","","L"&amp;TEXT(ROW()-1,"000"))</f>
        <v/>
      </c>
      <c r="B117" s="19" t="n"/>
      <c r="K117" s="19" t="n"/>
      <c r="M117" s="18">
        <f>IF(OR(K117="",J117="Inscrito",J117="Perdido"),"",TODAY()-K117)</f>
        <v/>
      </c>
    </row>
    <row r="118">
      <c r="A118" s="18">
        <f>IF(C118="","","L"&amp;TEXT(ROW()-1,"000"))</f>
        <v/>
      </c>
      <c r="B118" s="19" t="n"/>
      <c r="K118" s="19" t="n"/>
      <c r="M118" s="18">
        <f>IF(OR(K118="",J118="Inscrito",J118="Perdido"),"",TODAY()-K118)</f>
        <v/>
      </c>
    </row>
    <row r="119">
      <c r="A119" s="18">
        <f>IF(C119="","","L"&amp;TEXT(ROW()-1,"000"))</f>
        <v/>
      </c>
      <c r="B119" s="19" t="n"/>
      <c r="K119" s="19" t="n"/>
      <c r="M119" s="18">
        <f>IF(OR(K119="",J119="Inscrito",J119="Perdido"),"",TODAY()-K119)</f>
        <v/>
      </c>
    </row>
    <row r="120">
      <c r="A120" s="18">
        <f>IF(C120="","","L"&amp;TEXT(ROW()-1,"000"))</f>
        <v/>
      </c>
      <c r="B120" s="19" t="n"/>
      <c r="K120" s="19" t="n"/>
      <c r="M120" s="18">
        <f>IF(OR(K120="",J120="Inscrito",J120="Perdido"),"",TODAY()-K120)</f>
        <v/>
      </c>
    </row>
    <row r="121">
      <c r="A121" s="18">
        <f>IF(C121="","","L"&amp;TEXT(ROW()-1,"000"))</f>
        <v/>
      </c>
      <c r="B121" s="19" t="n"/>
      <c r="K121" s="19" t="n"/>
      <c r="M121" s="18">
        <f>IF(OR(K121="",J121="Inscrito",J121="Perdido"),"",TODAY()-K121)</f>
        <v/>
      </c>
    </row>
    <row r="122">
      <c r="A122" s="18">
        <f>IF(C122="","","L"&amp;TEXT(ROW()-1,"000"))</f>
        <v/>
      </c>
      <c r="B122" s="19" t="n"/>
      <c r="K122" s="19" t="n"/>
      <c r="M122" s="18">
        <f>IF(OR(K122="",J122="Inscrito",J122="Perdido"),"",TODAY()-K122)</f>
        <v/>
      </c>
    </row>
    <row r="123">
      <c r="A123" s="18">
        <f>IF(C123="","","L"&amp;TEXT(ROW()-1,"000"))</f>
        <v/>
      </c>
      <c r="B123" s="19" t="n"/>
      <c r="K123" s="19" t="n"/>
      <c r="M123" s="18">
        <f>IF(OR(K123="",J123="Inscrito",J123="Perdido"),"",TODAY()-K123)</f>
        <v/>
      </c>
    </row>
    <row r="124">
      <c r="A124" s="18">
        <f>IF(C124="","","L"&amp;TEXT(ROW()-1,"000"))</f>
        <v/>
      </c>
      <c r="B124" s="19" t="n"/>
      <c r="K124" s="19" t="n"/>
      <c r="M124" s="18">
        <f>IF(OR(K124="",J124="Inscrito",J124="Perdido"),"",TODAY()-K124)</f>
        <v/>
      </c>
    </row>
    <row r="125">
      <c r="A125" s="18">
        <f>IF(C125="","","L"&amp;TEXT(ROW()-1,"000"))</f>
        <v/>
      </c>
      <c r="B125" s="19" t="n"/>
      <c r="K125" s="19" t="n"/>
      <c r="M125" s="18">
        <f>IF(OR(K125="",J125="Inscrito",J125="Perdido"),"",TODAY()-K125)</f>
        <v/>
      </c>
    </row>
    <row r="126">
      <c r="A126" s="18">
        <f>IF(C126="","","L"&amp;TEXT(ROW()-1,"000"))</f>
        <v/>
      </c>
      <c r="B126" s="19" t="n"/>
      <c r="K126" s="19" t="n"/>
      <c r="M126" s="18">
        <f>IF(OR(K126="",J126="Inscrito",J126="Perdido"),"",TODAY()-K126)</f>
        <v/>
      </c>
    </row>
    <row r="127">
      <c r="A127" s="18">
        <f>IF(C127="","","L"&amp;TEXT(ROW()-1,"000"))</f>
        <v/>
      </c>
      <c r="B127" s="19" t="n"/>
      <c r="K127" s="19" t="n"/>
      <c r="M127" s="18">
        <f>IF(OR(K127="",J127="Inscrito",J127="Perdido"),"",TODAY()-K127)</f>
        <v/>
      </c>
    </row>
    <row r="128">
      <c r="A128" s="18">
        <f>IF(C128="","","L"&amp;TEXT(ROW()-1,"000"))</f>
        <v/>
      </c>
      <c r="B128" s="19" t="n"/>
      <c r="K128" s="19" t="n"/>
      <c r="M128" s="18">
        <f>IF(OR(K128="",J128="Inscrito",J128="Perdido"),"",TODAY()-K128)</f>
        <v/>
      </c>
    </row>
    <row r="129">
      <c r="A129" s="18">
        <f>IF(C129="","","L"&amp;TEXT(ROW()-1,"000"))</f>
        <v/>
      </c>
      <c r="B129" s="19" t="n"/>
      <c r="K129" s="19" t="n"/>
      <c r="M129" s="18">
        <f>IF(OR(K129="",J129="Inscrito",J129="Perdido"),"",TODAY()-K129)</f>
        <v/>
      </c>
    </row>
    <row r="130">
      <c r="A130" s="18">
        <f>IF(C130="","","L"&amp;TEXT(ROW()-1,"000"))</f>
        <v/>
      </c>
      <c r="B130" s="19" t="n"/>
      <c r="K130" s="19" t="n"/>
      <c r="M130" s="18">
        <f>IF(OR(K130="",J130="Inscrito",J130="Perdido"),"",TODAY()-K130)</f>
        <v/>
      </c>
    </row>
    <row r="131">
      <c r="A131" s="18">
        <f>IF(C131="","","L"&amp;TEXT(ROW()-1,"000"))</f>
        <v/>
      </c>
      <c r="B131" s="19" t="n"/>
      <c r="K131" s="19" t="n"/>
      <c r="M131" s="18">
        <f>IF(OR(K131="",J131="Inscrito",J131="Perdido"),"",TODAY()-K131)</f>
        <v/>
      </c>
    </row>
    <row r="132">
      <c r="A132" s="18">
        <f>IF(C132="","","L"&amp;TEXT(ROW()-1,"000"))</f>
        <v/>
      </c>
      <c r="B132" s="19" t="n"/>
      <c r="K132" s="19" t="n"/>
      <c r="M132" s="18">
        <f>IF(OR(K132="",J132="Inscrito",J132="Perdido"),"",TODAY()-K132)</f>
        <v/>
      </c>
    </row>
    <row r="133">
      <c r="A133" s="18">
        <f>IF(C133="","","L"&amp;TEXT(ROW()-1,"000"))</f>
        <v/>
      </c>
      <c r="B133" s="19" t="n"/>
      <c r="K133" s="19" t="n"/>
      <c r="M133" s="18">
        <f>IF(OR(K133="",J133="Inscrito",J133="Perdido"),"",TODAY()-K133)</f>
        <v/>
      </c>
    </row>
    <row r="134">
      <c r="A134" s="18">
        <f>IF(C134="","","L"&amp;TEXT(ROW()-1,"000"))</f>
        <v/>
      </c>
      <c r="B134" s="19" t="n"/>
      <c r="K134" s="19" t="n"/>
      <c r="M134" s="18">
        <f>IF(OR(K134="",J134="Inscrito",J134="Perdido"),"",TODAY()-K134)</f>
        <v/>
      </c>
    </row>
    <row r="135">
      <c r="A135" s="18">
        <f>IF(C135="","","L"&amp;TEXT(ROW()-1,"000"))</f>
        <v/>
      </c>
      <c r="B135" s="19" t="n"/>
      <c r="K135" s="19" t="n"/>
      <c r="M135" s="18">
        <f>IF(OR(K135="",J135="Inscrito",J135="Perdido"),"",TODAY()-K135)</f>
        <v/>
      </c>
    </row>
    <row r="136">
      <c r="A136" s="18">
        <f>IF(C136="","","L"&amp;TEXT(ROW()-1,"000"))</f>
        <v/>
      </c>
      <c r="B136" s="19" t="n"/>
      <c r="K136" s="19" t="n"/>
      <c r="M136" s="18">
        <f>IF(OR(K136="",J136="Inscrito",J136="Perdido"),"",TODAY()-K136)</f>
        <v/>
      </c>
    </row>
    <row r="137">
      <c r="A137" s="18">
        <f>IF(C137="","","L"&amp;TEXT(ROW()-1,"000"))</f>
        <v/>
      </c>
      <c r="B137" s="19" t="n"/>
      <c r="K137" s="19" t="n"/>
      <c r="M137" s="18">
        <f>IF(OR(K137="",J137="Inscrito",J137="Perdido"),"",TODAY()-K137)</f>
        <v/>
      </c>
    </row>
    <row r="138">
      <c r="A138" s="18">
        <f>IF(C138="","","L"&amp;TEXT(ROW()-1,"000"))</f>
        <v/>
      </c>
      <c r="B138" s="19" t="n"/>
      <c r="K138" s="19" t="n"/>
      <c r="M138" s="18">
        <f>IF(OR(K138="",J138="Inscrito",J138="Perdido"),"",TODAY()-K138)</f>
        <v/>
      </c>
    </row>
    <row r="139">
      <c r="A139" s="18">
        <f>IF(C139="","","L"&amp;TEXT(ROW()-1,"000"))</f>
        <v/>
      </c>
      <c r="B139" s="19" t="n"/>
      <c r="K139" s="19" t="n"/>
      <c r="M139" s="18">
        <f>IF(OR(K139="",J139="Inscrito",J139="Perdido"),"",TODAY()-K139)</f>
        <v/>
      </c>
    </row>
    <row r="140">
      <c r="A140" s="18">
        <f>IF(C140="","","L"&amp;TEXT(ROW()-1,"000"))</f>
        <v/>
      </c>
      <c r="B140" s="19" t="n"/>
      <c r="K140" s="19" t="n"/>
      <c r="M140" s="18">
        <f>IF(OR(K140="",J140="Inscrito",J140="Perdido"),"",TODAY()-K140)</f>
        <v/>
      </c>
    </row>
    <row r="141">
      <c r="A141" s="18">
        <f>IF(C141="","","L"&amp;TEXT(ROW()-1,"000"))</f>
        <v/>
      </c>
      <c r="B141" s="19" t="n"/>
      <c r="K141" s="19" t="n"/>
      <c r="M141" s="18">
        <f>IF(OR(K141="",J141="Inscrito",J141="Perdido"),"",TODAY()-K141)</f>
        <v/>
      </c>
    </row>
    <row r="142">
      <c r="A142" s="18">
        <f>IF(C142="","","L"&amp;TEXT(ROW()-1,"000"))</f>
        <v/>
      </c>
      <c r="B142" s="19" t="n"/>
      <c r="K142" s="19" t="n"/>
      <c r="M142" s="18">
        <f>IF(OR(K142="",J142="Inscrito",J142="Perdido"),"",TODAY()-K142)</f>
        <v/>
      </c>
    </row>
    <row r="143">
      <c r="A143" s="18">
        <f>IF(C143="","","L"&amp;TEXT(ROW()-1,"000"))</f>
        <v/>
      </c>
      <c r="B143" s="19" t="n"/>
      <c r="K143" s="19" t="n"/>
      <c r="M143" s="18">
        <f>IF(OR(K143="",J143="Inscrito",J143="Perdido"),"",TODAY()-K143)</f>
        <v/>
      </c>
    </row>
    <row r="144">
      <c r="A144" s="18">
        <f>IF(C144="","","L"&amp;TEXT(ROW()-1,"000"))</f>
        <v/>
      </c>
      <c r="B144" s="19" t="n"/>
      <c r="K144" s="19" t="n"/>
      <c r="M144" s="18">
        <f>IF(OR(K144="",J144="Inscrito",J144="Perdido"),"",TODAY()-K144)</f>
        <v/>
      </c>
    </row>
    <row r="145">
      <c r="A145" s="18">
        <f>IF(C145="","","L"&amp;TEXT(ROW()-1,"000"))</f>
        <v/>
      </c>
      <c r="B145" s="19" t="n"/>
      <c r="K145" s="19" t="n"/>
      <c r="M145" s="18">
        <f>IF(OR(K145="",J145="Inscrito",J145="Perdido"),"",TODAY()-K145)</f>
        <v/>
      </c>
    </row>
    <row r="146">
      <c r="A146" s="18">
        <f>IF(C146="","","L"&amp;TEXT(ROW()-1,"000"))</f>
        <v/>
      </c>
      <c r="B146" s="19" t="n"/>
      <c r="K146" s="19" t="n"/>
      <c r="M146" s="18">
        <f>IF(OR(K146="",J146="Inscrito",J146="Perdido"),"",TODAY()-K146)</f>
        <v/>
      </c>
    </row>
    <row r="147">
      <c r="A147" s="18">
        <f>IF(C147="","","L"&amp;TEXT(ROW()-1,"000"))</f>
        <v/>
      </c>
      <c r="B147" s="19" t="n"/>
      <c r="K147" s="19" t="n"/>
      <c r="M147" s="18">
        <f>IF(OR(K147="",J147="Inscrito",J147="Perdido"),"",TODAY()-K147)</f>
        <v/>
      </c>
    </row>
    <row r="148">
      <c r="A148" s="18">
        <f>IF(C148="","","L"&amp;TEXT(ROW()-1,"000"))</f>
        <v/>
      </c>
      <c r="B148" s="19" t="n"/>
      <c r="K148" s="19" t="n"/>
      <c r="M148" s="18">
        <f>IF(OR(K148="",J148="Inscrito",J148="Perdido"),"",TODAY()-K148)</f>
        <v/>
      </c>
    </row>
    <row r="149">
      <c r="A149" s="18">
        <f>IF(C149="","","L"&amp;TEXT(ROW()-1,"000"))</f>
        <v/>
      </c>
      <c r="B149" s="19" t="n"/>
      <c r="K149" s="19" t="n"/>
      <c r="M149" s="18">
        <f>IF(OR(K149="",J149="Inscrito",J149="Perdido"),"",TODAY()-K149)</f>
        <v/>
      </c>
    </row>
    <row r="150">
      <c r="A150" s="18">
        <f>IF(C150="","","L"&amp;TEXT(ROW()-1,"000"))</f>
        <v/>
      </c>
      <c r="B150" s="19" t="n"/>
      <c r="K150" s="19" t="n"/>
      <c r="M150" s="18">
        <f>IF(OR(K150="",J150="Inscrito",J150="Perdido"),"",TODAY()-K150)</f>
        <v/>
      </c>
    </row>
    <row r="151">
      <c r="A151" s="18">
        <f>IF(C151="","","L"&amp;TEXT(ROW()-1,"000"))</f>
        <v/>
      </c>
      <c r="B151" s="19" t="n"/>
      <c r="K151" s="19" t="n"/>
      <c r="M151" s="18">
        <f>IF(OR(K151="",J151="Inscrito",J151="Perdido"),"",TODAY()-K151)</f>
        <v/>
      </c>
    </row>
    <row r="152">
      <c r="A152" s="18">
        <f>IF(C152="","","L"&amp;TEXT(ROW()-1,"000"))</f>
        <v/>
      </c>
      <c r="B152" s="19" t="n"/>
      <c r="K152" s="19" t="n"/>
      <c r="M152" s="18">
        <f>IF(OR(K152="",J152="Inscrito",J152="Perdido"),"",TODAY()-K152)</f>
        <v/>
      </c>
    </row>
    <row r="153">
      <c r="A153" s="18">
        <f>IF(C153="","","L"&amp;TEXT(ROW()-1,"000"))</f>
        <v/>
      </c>
      <c r="B153" s="19" t="n"/>
      <c r="K153" s="19" t="n"/>
      <c r="M153" s="18">
        <f>IF(OR(K153="",J153="Inscrito",J153="Perdido"),"",TODAY()-K153)</f>
        <v/>
      </c>
    </row>
    <row r="154">
      <c r="A154" s="18">
        <f>IF(C154="","","L"&amp;TEXT(ROW()-1,"000"))</f>
        <v/>
      </c>
      <c r="B154" s="19" t="n"/>
      <c r="K154" s="19" t="n"/>
      <c r="M154" s="18">
        <f>IF(OR(K154="",J154="Inscrito",J154="Perdido"),"",TODAY()-K154)</f>
        <v/>
      </c>
    </row>
    <row r="155">
      <c r="A155" s="18">
        <f>IF(C155="","","L"&amp;TEXT(ROW()-1,"000"))</f>
        <v/>
      </c>
      <c r="B155" s="19" t="n"/>
      <c r="K155" s="19" t="n"/>
      <c r="M155" s="18">
        <f>IF(OR(K155="",J155="Inscrito",J155="Perdido"),"",TODAY()-K155)</f>
        <v/>
      </c>
    </row>
    <row r="156">
      <c r="A156" s="18">
        <f>IF(C156="","","L"&amp;TEXT(ROW()-1,"000"))</f>
        <v/>
      </c>
      <c r="B156" s="19" t="n"/>
      <c r="K156" s="19" t="n"/>
      <c r="M156" s="18">
        <f>IF(OR(K156="",J156="Inscrito",J156="Perdido"),"",TODAY()-K156)</f>
        <v/>
      </c>
    </row>
    <row r="157">
      <c r="A157" s="18">
        <f>IF(C157="","","L"&amp;TEXT(ROW()-1,"000"))</f>
        <v/>
      </c>
      <c r="B157" s="19" t="n"/>
      <c r="K157" s="19" t="n"/>
      <c r="M157" s="18">
        <f>IF(OR(K157="",J157="Inscrito",J157="Perdido"),"",TODAY()-K157)</f>
        <v/>
      </c>
    </row>
    <row r="158">
      <c r="A158" s="18">
        <f>IF(C158="","","L"&amp;TEXT(ROW()-1,"000"))</f>
        <v/>
      </c>
      <c r="B158" s="19" t="n"/>
      <c r="K158" s="19" t="n"/>
      <c r="M158" s="18">
        <f>IF(OR(K158="",J158="Inscrito",J158="Perdido"),"",TODAY()-K158)</f>
        <v/>
      </c>
    </row>
    <row r="159">
      <c r="A159" s="18">
        <f>IF(C159="","","L"&amp;TEXT(ROW()-1,"000"))</f>
        <v/>
      </c>
      <c r="B159" s="19" t="n"/>
      <c r="K159" s="19" t="n"/>
      <c r="M159" s="18">
        <f>IF(OR(K159="",J159="Inscrito",J159="Perdido"),"",TODAY()-K159)</f>
        <v/>
      </c>
    </row>
    <row r="160">
      <c r="A160" s="18">
        <f>IF(C160="","","L"&amp;TEXT(ROW()-1,"000"))</f>
        <v/>
      </c>
      <c r="B160" s="19" t="n"/>
      <c r="K160" s="19" t="n"/>
      <c r="M160" s="18">
        <f>IF(OR(K160="",J160="Inscrito",J160="Perdido"),"",TODAY()-K160)</f>
        <v/>
      </c>
    </row>
    <row r="161">
      <c r="A161" s="18">
        <f>IF(C161="","","L"&amp;TEXT(ROW()-1,"000"))</f>
        <v/>
      </c>
      <c r="B161" s="19" t="n"/>
      <c r="K161" s="19" t="n"/>
      <c r="M161" s="18">
        <f>IF(OR(K161="",J161="Inscrito",J161="Perdido"),"",TODAY()-K161)</f>
        <v/>
      </c>
    </row>
    <row r="162">
      <c r="A162" s="18">
        <f>IF(C162="","","L"&amp;TEXT(ROW()-1,"000"))</f>
        <v/>
      </c>
      <c r="B162" s="19" t="n"/>
      <c r="K162" s="19" t="n"/>
      <c r="M162" s="18">
        <f>IF(OR(K162="",J162="Inscrito",J162="Perdido"),"",TODAY()-K162)</f>
        <v/>
      </c>
    </row>
    <row r="163">
      <c r="A163" s="18">
        <f>IF(C163="","","L"&amp;TEXT(ROW()-1,"000"))</f>
        <v/>
      </c>
      <c r="B163" s="19" t="n"/>
      <c r="K163" s="19" t="n"/>
      <c r="M163" s="18">
        <f>IF(OR(K163="",J163="Inscrito",J163="Perdido"),"",TODAY()-K163)</f>
        <v/>
      </c>
    </row>
    <row r="164">
      <c r="A164" s="18">
        <f>IF(C164="","","L"&amp;TEXT(ROW()-1,"000"))</f>
        <v/>
      </c>
      <c r="B164" s="19" t="n"/>
      <c r="K164" s="19" t="n"/>
      <c r="M164" s="18">
        <f>IF(OR(K164="",J164="Inscrito",J164="Perdido"),"",TODAY()-K164)</f>
        <v/>
      </c>
    </row>
    <row r="165">
      <c r="A165" s="18">
        <f>IF(C165="","","L"&amp;TEXT(ROW()-1,"000"))</f>
        <v/>
      </c>
      <c r="B165" s="19" t="n"/>
      <c r="K165" s="19" t="n"/>
      <c r="M165" s="18">
        <f>IF(OR(K165="",J165="Inscrito",J165="Perdido"),"",TODAY()-K165)</f>
        <v/>
      </c>
    </row>
    <row r="166">
      <c r="A166" s="18">
        <f>IF(C166="","","L"&amp;TEXT(ROW()-1,"000"))</f>
        <v/>
      </c>
      <c r="B166" s="19" t="n"/>
      <c r="K166" s="19" t="n"/>
      <c r="M166" s="18">
        <f>IF(OR(K166="",J166="Inscrito",J166="Perdido"),"",TODAY()-K166)</f>
        <v/>
      </c>
    </row>
    <row r="167">
      <c r="A167" s="18">
        <f>IF(C167="","","L"&amp;TEXT(ROW()-1,"000"))</f>
        <v/>
      </c>
      <c r="B167" s="19" t="n"/>
      <c r="K167" s="19" t="n"/>
      <c r="M167" s="18">
        <f>IF(OR(K167="",J167="Inscrito",J167="Perdido"),"",TODAY()-K167)</f>
        <v/>
      </c>
    </row>
    <row r="168">
      <c r="A168" s="18">
        <f>IF(C168="","","L"&amp;TEXT(ROW()-1,"000"))</f>
        <v/>
      </c>
      <c r="B168" s="19" t="n"/>
      <c r="K168" s="19" t="n"/>
      <c r="M168" s="18">
        <f>IF(OR(K168="",J168="Inscrito",J168="Perdido"),"",TODAY()-K168)</f>
        <v/>
      </c>
    </row>
    <row r="169">
      <c r="A169" s="18">
        <f>IF(C169="","","L"&amp;TEXT(ROW()-1,"000"))</f>
        <v/>
      </c>
      <c r="B169" s="19" t="n"/>
      <c r="K169" s="19" t="n"/>
      <c r="M169" s="18">
        <f>IF(OR(K169="",J169="Inscrito",J169="Perdido"),"",TODAY()-K169)</f>
        <v/>
      </c>
    </row>
    <row r="170">
      <c r="A170" s="18">
        <f>IF(C170="","","L"&amp;TEXT(ROW()-1,"000"))</f>
        <v/>
      </c>
      <c r="B170" s="19" t="n"/>
      <c r="K170" s="19" t="n"/>
      <c r="M170" s="18">
        <f>IF(OR(K170="",J170="Inscrito",J170="Perdido"),"",TODAY()-K170)</f>
        <v/>
      </c>
    </row>
    <row r="171">
      <c r="A171" s="18">
        <f>IF(C171="","","L"&amp;TEXT(ROW()-1,"000"))</f>
        <v/>
      </c>
      <c r="B171" s="19" t="n"/>
      <c r="K171" s="19" t="n"/>
      <c r="M171" s="18">
        <f>IF(OR(K171="",J171="Inscrito",J171="Perdido"),"",TODAY()-K171)</f>
        <v/>
      </c>
    </row>
    <row r="172">
      <c r="A172" s="18">
        <f>IF(C172="","","L"&amp;TEXT(ROW()-1,"000"))</f>
        <v/>
      </c>
      <c r="B172" s="19" t="n"/>
      <c r="K172" s="19" t="n"/>
      <c r="M172" s="18">
        <f>IF(OR(K172="",J172="Inscrito",J172="Perdido"),"",TODAY()-K172)</f>
        <v/>
      </c>
    </row>
    <row r="173">
      <c r="A173" s="18">
        <f>IF(C173="","","L"&amp;TEXT(ROW()-1,"000"))</f>
        <v/>
      </c>
      <c r="B173" s="19" t="n"/>
      <c r="K173" s="19" t="n"/>
      <c r="M173" s="18">
        <f>IF(OR(K173="",J173="Inscrito",J173="Perdido"),"",TODAY()-K173)</f>
        <v/>
      </c>
    </row>
    <row r="174">
      <c r="A174" s="18">
        <f>IF(C174="","","L"&amp;TEXT(ROW()-1,"000"))</f>
        <v/>
      </c>
      <c r="B174" s="19" t="n"/>
      <c r="K174" s="19" t="n"/>
      <c r="M174" s="18">
        <f>IF(OR(K174="",J174="Inscrito",J174="Perdido"),"",TODAY()-K174)</f>
        <v/>
      </c>
    </row>
    <row r="175">
      <c r="A175" s="18">
        <f>IF(C175="","","L"&amp;TEXT(ROW()-1,"000"))</f>
        <v/>
      </c>
      <c r="B175" s="19" t="n"/>
      <c r="K175" s="19" t="n"/>
      <c r="M175" s="18">
        <f>IF(OR(K175="",J175="Inscrito",J175="Perdido"),"",TODAY()-K175)</f>
        <v/>
      </c>
    </row>
    <row r="176">
      <c r="A176" s="18">
        <f>IF(C176="","","L"&amp;TEXT(ROW()-1,"000"))</f>
        <v/>
      </c>
      <c r="B176" s="19" t="n"/>
      <c r="K176" s="19" t="n"/>
      <c r="M176" s="18">
        <f>IF(OR(K176="",J176="Inscrito",J176="Perdido"),"",TODAY()-K176)</f>
        <v/>
      </c>
    </row>
    <row r="177">
      <c r="A177" s="18">
        <f>IF(C177="","","L"&amp;TEXT(ROW()-1,"000"))</f>
        <v/>
      </c>
      <c r="B177" s="19" t="n"/>
      <c r="K177" s="19" t="n"/>
      <c r="M177" s="18">
        <f>IF(OR(K177="",J177="Inscrito",J177="Perdido"),"",TODAY()-K177)</f>
        <v/>
      </c>
    </row>
    <row r="178">
      <c r="A178" s="18">
        <f>IF(C178="","","L"&amp;TEXT(ROW()-1,"000"))</f>
        <v/>
      </c>
      <c r="B178" s="19" t="n"/>
      <c r="K178" s="19" t="n"/>
      <c r="M178" s="18">
        <f>IF(OR(K178="",J178="Inscrito",J178="Perdido"),"",TODAY()-K178)</f>
        <v/>
      </c>
    </row>
    <row r="179">
      <c r="A179" s="18">
        <f>IF(C179="","","L"&amp;TEXT(ROW()-1,"000"))</f>
        <v/>
      </c>
      <c r="B179" s="19" t="n"/>
      <c r="K179" s="19" t="n"/>
      <c r="M179" s="18">
        <f>IF(OR(K179="",J179="Inscrito",J179="Perdido"),"",TODAY()-K179)</f>
        <v/>
      </c>
    </row>
    <row r="180">
      <c r="A180" s="18">
        <f>IF(C180="","","L"&amp;TEXT(ROW()-1,"000"))</f>
        <v/>
      </c>
      <c r="B180" s="19" t="n"/>
      <c r="K180" s="19" t="n"/>
      <c r="M180" s="18">
        <f>IF(OR(K180="",J180="Inscrito",J180="Perdido"),"",TODAY()-K180)</f>
        <v/>
      </c>
    </row>
    <row r="181">
      <c r="A181" s="18">
        <f>IF(C181="","","L"&amp;TEXT(ROW()-1,"000"))</f>
        <v/>
      </c>
      <c r="B181" s="19" t="n"/>
      <c r="K181" s="19" t="n"/>
      <c r="M181" s="18">
        <f>IF(OR(K181="",J181="Inscrito",J181="Perdido"),"",TODAY()-K181)</f>
        <v/>
      </c>
    </row>
    <row r="182">
      <c r="A182" s="18">
        <f>IF(C182="","","L"&amp;TEXT(ROW()-1,"000"))</f>
        <v/>
      </c>
      <c r="B182" s="19" t="n"/>
      <c r="K182" s="19" t="n"/>
      <c r="M182" s="18">
        <f>IF(OR(K182="",J182="Inscrito",J182="Perdido"),"",TODAY()-K182)</f>
        <v/>
      </c>
    </row>
    <row r="183">
      <c r="A183" s="18">
        <f>IF(C183="","","L"&amp;TEXT(ROW()-1,"000"))</f>
        <v/>
      </c>
      <c r="B183" s="19" t="n"/>
      <c r="K183" s="19" t="n"/>
      <c r="M183" s="18">
        <f>IF(OR(K183="",J183="Inscrito",J183="Perdido"),"",TODAY()-K183)</f>
        <v/>
      </c>
    </row>
    <row r="184">
      <c r="A184" s="18">
        <f>IF(C184="","","L"&amp;TEXT(ROW()-1,"000"))</f>
        <v/>
      </c>
      <c r="B184" s="19" t="n"/>
      <c r="K184" s="19" t="n"/>
      <c r="M184" s="18">
        <f>IF(OR(K184="",J184="Inscrito",J184="Perdido"),"",TODAY()-K184)</f>
        <v/>
      </c>
    </row>
    <row r="185">
      <c r="A185" s="18">
        <f>IF(C185="","","L"&amp;TEXT(ROW()-1,"000"))</f>
        <v/>
      </c>
      <c r="B185" s="19" t="n"/>
      <c r="K185" s="19" t="n"/>
      <c r="M185" s="18">
        <f>IF(OR(K185="",J185="Inscrito",J185="Perdido"),"",TODAY()-K185)</f>
        <v/>
      </c>
    </row>
    <row r="186">
      <c r="A186" s="18">
        <f>IF(C186="","","L"&amp;TEXT(ROW()-1,"000"))</f>
        <v/>
      </c>
      <c r="B186" s="19" t="n"/>
      <c r="K186" s="19" t="n"/>
      <c r="M186" s="18">
        <f>IF(OR(K186="",J186="Inscrito",J186="Perdido"),"",TODAY()-K186)</f>
        <v/>
      </c>
    </row>
    <row r="187">
      <c r="A187" s="18">
        <f>IF(C187="","","L"&amp;TEXT(ROW()-1,"000"))</f>
        <v/>
      </c>
      <c r="B187" s="19" t="n"/>
      <c r="K187" s="19" t="n"/>
      <c r="M187" s="18">
        <f>IF(OR(K187="",J187="Inscrito",J187="Perdido"),"",TODAY()-K187)</f>
        <v/>
      </c>
    </row>
    <row r="188">
      <c r="A188" s="18">
        <f>IF(C188="","","L"&amp;TEXT(ROW()-1,"000"))</f>
        <v/>
      </c>
      <c r="B188" s="19" t="n"/>
      <c r="K188" s="19" t="n"/>
      <c r="M188" s="18">
        <f>IF(OR(K188="",J188="Inscrito",J188="Perdido"),"",TODAY()-K188)</f>
        <v/>
      </c>
    </row>
    <row r="189">
      <c r="A189" s="18">
        <f>IF(C189="","","L"&amp;TEXT(ROW()-1,"000"))</f>
        <v/>
      </c>
      <c r="B189" s="19" t="n"/>
      <c r="K189" s="19" t="n"/>
      <c r="M189" s="18">
        <f>IF(OR(K189="",J189="Inscrito",J189="Perdido"),"",TODAY()-K189)</f>
        <v/>
      </c>
    </row>
    <row r="190">
      <c r="A190" s="18">
        <f>IF(C190="","","L"&amp;TEXT(ROW()-1,"000"))</f>
        <v/>
      </c>
      <c r="B190" s="19" t="n"/>
      <c r="K190" s="19" t="n"/>
      <c r="M190" s="18">
        <f>IF(OR(K190="",J190="Inscrito",J190="Perdido"),"",TODAY()-K190)</f>
        <v/>
      </c>
    </row>
    <row r="191">
      <c r="A191" s="18">
        <f>IF(C191="","","L"&amp;TEXT(ROW()-1,"000"))</f>
        <v/>
      </c>
      <c r="B191" s="19" t="n"/>
      <c r="K191" s="19" t="n"/>
      <c r="M191" s="18">
        <f>IF(OR(K191="",J191="Inscrito",J191="Perdido"),"",TODAY()-K191)</f>
        <v/>
      </c>
    </row>
    <row r="192">
      <c r="A192" s="18">
        <f>IF(C192="","","L"&amp;TEXT(ROW()-1,"000"))</f>
        <v/>
      </c>
      <c r="B192" s="19" t="n"/>
      <c r="K192" s="19" t="n"/>
      <c r="M192" s="18">
        <f>IF(OR(K192="",J192="Inscrito",J192="Perdido"),"",TODAY()-K192)</f>
        <v/>
      </c>
    </row>
    <row r="193">
      <c r="A193" s="18">
        <f>IF(C193="","","L"&amp;TEXT(ROW()-1,"000"))</f>
        <v/>
      </c>
      <c r="B193" s="19" t="n"/>
      <c r="K193" s="19" t="n"/>
      <c r="M193" s="18">
        <f>IF(OR(K193="",J193="Inscrito",J193="Perdido"),"",TODAY()-K193)</f>
        <v/>
      </c>
    </row>
    <row r="194">
      <c r="A194" s="18">
        <f>IF(C194="","","L"&amp;TEXT(ROW()-1,"000"))</f>
        <v/>
      </c>
      <c r="B194" s="19" t="n"/>
      <c r="K194" s="19" t="n"/>
      <c r="M194" s="18">
        <f>IF(OR(K194="",J194="Inscrito",J194="Perdido"),"",TODAY()-K194)</f>
        <v/>
      </c>
    </row>
    <row r="195">
      <c r="A195" s="18">
        <f>IF(C195="","","L"&amp;TEXT(ROW()-1,"000"))</f>
        <v/>
      </c>
      <c r="B195" s="19" t="n"/>
      <c r="K195" s="19" t="n"/>
      <c r="M195" s="18">
        <f>IF(OR(K195="",J195="Inscrito",J195="Perdido"),"",TODAY()-K195)</f>
        <v/>
      </c>
    </row>
    <row r="196">
      <c r="A196" s="18">
        <f>IF(C196="","","L"&amp;TEXT(ROW()-1,"000"))</f>
        <v/>
      </c>
      <c r="B196" s="19" t="n"/>
      <c r="K196" s="19" t="n"/>
      <c r="M196" s="18">
        <f>IF(OR(K196="",J196="Inscrito",J196="Perdido"),"",TODAY()-K196)</f>
        <v/>
      </c>
    </row>
    <row r="197">
      <c r="A197" s="18">
        <f>IF(C197="","","L"&amp;TEXT(ROW()-1,"000"))</f>
        <v/>
      </c>
      <c r="B197" s="19" t="n"/>
      <c r="K197" s="19" t="n"/>
      <c r="M197" s="18">
        <f>IF(OR(K197="",J197="Inscrito",J197="Perdido"),"",TODAY()-K197)</f>
        <v/>
      </c>
    </row>
    <row r="198">
      <c r="A198" s="18">
        <f>IF(C198="","","L"&amp;TEXT(ROW()-1,"000"))</f>
        <v/>
      </c>
      <c r="B198" s="19" t="n"/>
      <c r="K198" s="19" t="n"/>
      <c r="M198" s="18">
        <f>IF(OR(K198="",J198="Inscrito",J198="Perdido"),"",TODAY()-K198)</f>
        <v/>
      </c>
    </row>
    <row r="199">
      <c r="A199" s="18">
        <f>IF(C199="","","L"&amp;TEXT(ROW()-1,"000"))</f>
        <v/>
      </c>
      <c r="B199" s="19" t="n"/>
      <c r="K199" s="19" t="n"/>
      <c r="M199" s="18">
        <f>IF(OR(K199="",J199="Inscrito",J199="Perdido"),"",TODAY()-K199)</f>
        <v/>
      </c>
    </row>
    <row r="200">
      <c r="A200" s="18">
        <f>IF(C200="","","L"&amp;TEXT(ROW()-1,"000"))</f>
        <v/>
      </c>
      <c r="B200" s="19" t="n"/>
      <c r="K200" s="19" t="n"/>
      <c r="M200" s="18">
        <f>IF(OR(K200="",J200="Inscrito",J200="Perdido"),"",TODAY()-K200)</f>
        <v/>
      </c>
    </row>
    <row r="201">
      <c r="A201" s="18">
        <f>IF(C201="","","L"&amp;TEXT(ROW()-1,"000"))</f>
        <v/>
      </c>
      <c r="B201" s="19" t="n"/>
      <c r="K201" s="19" t="n"/>
      <c r="M201" s="18">
        <f>IF(OR(K201="",J201="Inscrito",J201="Perdido"),"",TODAY()-K201)</f>
        <v/>
      </c>
    </row>
    <row r="202">
      <c r="A202" s="18">
        <f>IF(C202="","","L"&amp;TEXT(ROW()-1,"000"))</f>
        <v/>
      </c>
      <c r="B202" s="19" t="n"/>
      <c r="K202" s="19" t="n"/>
      <c r="M202" s="18">
        <f>IF(OR(K202="",J202="Inscrito",J202="Perdido"),"",TODAY()-K202)</f>
        <v/>
      </c>
    </row>
    <row r="203">
      <c r="A203" s="18">
        <f>IF(C203="","","L"&amp;TEXT(ROW()-1,"000"))</f>
        <v/>
      </c>
      <c r="B203" s="19" t="n"/>
      <c r="K203" s="19" t="n"/>
      <c r="M203" s="18">
        <f>IF(OR(K203="",J203="Inscrito",J203="Perdido"),"",TODAY()-K203)</f>
        <v/>
      </c>
    </row>
    <row r="204">
      <c r="A204" s="18">
        <f>IF(C204="","","L"&amp;TEXT(ROW()-1,"000"))</f>
        <v/>
      </c>
      <c r="B204" s="19" t="n"/>
      <c r="K204" s="19" t="n"/>
      <c r="M204" s="18">
        <f>IF(OR(K204="",J204="Inscrito",J204="Perdido"),"",TODAY()-K204)</f>
        <v/>
      </c>
    </row>
    <row r="205">
      <c r="A205" s="18">
        <f>IF(C205="","","L"&amp;TEXT(ROW()-1,"000"))</f>
        <v/>
      </c>
      <c r="B205" s="19" t="n"/>
      <c r="K205" s="19" t="n"/>
      <c r="M205" s="18">
        <f>IF(OR(K205="",J205="Inscrito",J205="Perdido"),"",TODAY()-K205)</f>
        <v/>
      </c>
    </row>
    <row r="206">
      <c r="A206" s="18">
        <f>IF(C206="","","L"&amp;TEXT(ROW()-1,"000"))</f>
        <v/>
      </c>
      <c r="B206" s="19" t="n"/>
      <c r="K206" s="19" t="n"/>
      <c r="M206" s="18">
        <f>IF(OR(K206="",J206="Inscrito",J206="Perdido"),"",TODAY()-K206)</f>
        <v/>
      </c>
    </row>
    <row r="207">
      <c r="A207" s="18">
        <f>IF(C207="","","L"&amp;TEXT(ROW()-1,"000"))</f>
        <v/>
      </c>
      <c r="B207" s="19" t="n"/>
      <c r="K207" s="19" t="n"/>
      <c r="M207" s="18">
        <f>IF(OR(K207="",J207="Inscrito",J207="Perdido"),"",TODAY()-K207)</f>
        <v/>
      </c>
    </row>
    <row r="208">
      <c r="A208" s="18">
        <f>IF(C208="","","L"&amp;TEXT(ROW()-1,"000"))</f>
        <v/>
      </c>
      <c r="B208" s="19" t="n"/>
      <c r="K208" s="19" t="n"/>
      <c r="M208" s="18">
        <f>IF(OR(K208="",J208="Inscrito",J208="Perdido"),"",TODAY()-K208)</f>
        <v/>
      </c>
    </row>
    <row r="209">
      <c r="A209" s="18">
        <f>IF(C209="","","L"&amp;TEXT(ROW()-1,"000"))</f>
        <v/>
      </c>
      <c r="B209" s="19" t="n"/>
      <c r="K209" s="19" t="n"/>
      <c r="M209" s="18">
        <f>IF(OR(K209="",J209="Inscrito",J209="Perdido"),"",TODAY()-K209)</f>
        <v/>
      </c>
    </row>
    <row r="210">
      <c r="A210" s="18">
        <f>IF(C210="","","L"&amp;TEXT(ROW()-1,"000"))</f>
        <v/>
      </c>
      <c r="B210" s="19" t="n"/>
      <c r="K210" s="19" t="n"/>
      <c r="M210" s="18">
        <f>IF(OR(K210="",J210="Inscrito",J210="Perdido"),"",TODAY()-K210)</f>
        <v/>
      </c>
    </row>
    <row r="211">
      <c r="A211" s="18">
        <f>IF(C211="","","L"&amp;TEXT(ROW()-1,"000"))</f>
        <v/>
      </c>
      <c r="B211" s="19" t="n"/>
      <c r="K211" s="19" t="n"/>
      <c r="M211" s="18">
        <f>IF(OR(K211="",J211="Inscrito",J211="Perdido"),"",TODAY()-K211)</f>
        <v/>
      </c>
    </row>
    <row r="212">
      <c r="A212" s="18">
        <f>IF(C212="","","L"&amp;TEXT(ROW()-1,"000"))</f>
        <v/>
      </c>
      <c r="B212" s="19" t="n"/>
      <c r="K212" s="19" t="n"/>
      <c r="M212" s="18">
        <f>IF(OR(K212="",J212="Inscrito",J212="Perdido"),"",TODAY()-K212)</f>
        <v/>
      </c>
    </row>
    <row r="213">
      <c r="A213" s="18">
        <f>IF(C213="","","L"&amp;TEXT(ROW()-1,"000"))</f>
        <v/>
      </c>
      <c r="B213" s="19" t="n"/>
      <c r="K213" s="19" t="n"/>
      <c r="M213" s="18">
        <f>IF(OR(K213="",J213="Inscrito",J213="Perdido"),"",TODAY()-K213)</f>
        <v/>
      </c>
    </row>
    <row r="214">
      <c r="A214" s="18">
        <f>IF(C214="","","L"&amp;TEXT(ROW()-1,"000"))</f>
        <v/>
      </c>
      <c r="B214" s="19" t="n"/>
      <c r="K214" s="19" t="n"/>
      <c r="M214" s="18">
        <f>IF(OR(K214="",J214="Inscrito",J214="Perdido"),"",TODAY()-K214)</f>
        <v/>
      </c>
    </row>
    <row r="215">
      <c r="A215" s="18">
        <f>IF(C215="","","L"&amp;TEXT(ROW()-1,"000"))</f>
        <v/>
      </c>
      <c r="B215" s="19" t="n"/>
      <c r="K215" s="19" t="n"/>
      <c r="M215" s="18">
        <f>IF(OR(K215="",J215="Inscrito",J215="Perdido"),"",TODAY()-K215)</f>
        <v/>
      </c>
    </row>
    <row r="216">
      <c r="A216" s="18">
        <f>IF(C216="","","L"&amp;TEXT(ROW()-1,"000"))</f>
        <v/>
      </c>
      <c r="B216" s="19" t="n"/>
      <c r="K216" s="19" t="n"/>
      <c r="M216" s="18">
        <f>IF(OR(K216="",J216="Inscrito",J216="Perdido"),"",TODAY()-K216)</f>
        <v/>
      </c>
    </row>
    <row r="217">
      <c r="A217" s="18">
        <f>IF(C217="","","L"&amp;TEXT(ROW()-1,"000"))</f>
        <v/>
      </c>
      <c r="B217" s="19" t="n"/>
      <c r="K217" s="19" t="n"/>
      <c r="M217" s="18">
        <f>IF(OR(K217="",J217="Inscrito",J217="Perdido"),"",TODAY()-K217)</f>
        <v/>
      </c>
    </row>
    <row r="218">
      <c r="A218" s="18">
        <f>IF(C218="","","L"&amp;TEXT(ROW()-1,"000"))</f>
        <v/>
      </c>
      <c r="B218" s="19" t="n"/>
      <c r="K218" s="19" t="n"/>
      <c r="M218" s="18">
        <f>IF(OR(K218="",J218="Inscrito",J218="Perdido"),"",TODAY()-K218)</f>
        <v/>
      </c>
    </row>
    <row r="219">
      <c r="A219" s="18">
        <f>IF(C219="","","L"&amp;TEXT(ROW()-1,"000"))</f>
        <v/>
      </c>
      <c r="B219" s="19" t="n"/>
      <c r="K219" s="19" t="n"/>
      <c r="M219" s="18">
        <f>IF(OR(K219="",J219="Inscrito",J219="Perdido"),"",TODAY()-K219)</f>
        <v/>
      </c>
    </row>
    <row r="220">
      <c r="A220" s="18">
        <f>IF(C220="","","L"&amp;TEXT(ROW()-1,"000"))</f>
        <v/>
      </c>
      <c r="B220" s="19" t="n"/>
      <c r="K220" s="19" t="n"/>
      <c r="M220" s="18">
        <f>IF(OR(K220="",J220="Inscrito",J220="Perdido"),"",TODAY()-K220)</f>
        <v/>
      </c>
    </row>
    <row r="221">
      <c r="A221" s="18">
        <f>IF(C221="","","L"&amp;TEXT(ROW()-1,"000"))</f>
        <v/>
      </c>
      <c r="B221" s="19" t="n"/>
      <c r="K221" s="19" t="n"/>
      <c r="M221" s="18">
        <f>IF(OR(K221="",J221="Inscrito",J221="Perdido"),"",TODAY()-K221)</f>
        <v/>
      </c>
    </row>
    <row r="222">
      <c r="A222" s="18">
        <f>IF(C222="","","L"&amp;TEXT(ROW()-1,"000"))</f>
        <v/>
      </c>
      <c r="B222" s="19" t="n"/>
      <c r="K222" s="19" t="n"/>
      <c r="M222" s="18">
        <f>IF(OR(K222="",J222="Inscrito",J222="Perdido"),"",TODAY()-K222)</f>
        <v/>
      </c>
    </row>
    <row r="223">
      <c r="A223" s="18">
        <f>IF(C223="","","L"&amp;TEXT(ROW()-1,"000"))</f>
        <v/>
      </c>
      <c r="B223" s="19" t="n"/>
      <c r="K223" s="19" t="n"/>
      <c r="M223" s="18">
        <f>IF(OR(K223="",J223="Inscrito",J223="Perdido"),"",TODAY()-K223)</f>
        <v/>
      </c>
    </row>
    <row r="224">
      <c r="A224" s="18">
        <f>IF(C224="","","L"&amp;TEXT(ROW()-1,"000"))</f>
        <v/>
      </c>
      <c r="B224" s="19" t="n"/>
      <c r="K224" s="19" t="n"/>
      <c r="M224" s="18">
        <f>IF(OR(K224="",J224="Inscrito",J224="Perdido"),"",TODAY()-K224)</f>
        <v/>
      </c>
    </row>
    <row r="225">
      <c r="A225" s="18">
        <f>IF(C225="","","L"&amp;TEXT(ROW()-1,"000"))</f>
        <v/>
      </c>
      <c r="B225" s="19" t="n"/>
      <c r="K225" s="19" t="n"/>
      <c r="M225" s="18">
        <f>IF(OR(K225="",J225="Inscrito",J225="Perdido"),"",TODAY()-K225)</f>
        <v/>
      </c>
    </row>
    <row r="226">
      <c r="A226" s="18">
        <f>IF(C226="","","L"&amp;TEXT(ROW()-1,"000"))</f>
        <v/>
      </c>
      <c r="B226" s="19" t="n"/>
      <c r="K226" s="19" t="n"/>
      <c r="M226" s="18">
        <f>IF(OR(K226="",J226="Inscrito",J226="Perdido"),"",TODAY()-K226)</f>
        <v/>
      </c>
    </row>
    <row r="227">
      <c r="A227" s="18">
        <f>IF(C227="","","L"&amp;TEXT(ROW()-1,"000"))</f>
        <v/>
      </c>
      <c r="B227" s="19" t="n"/>
      <c r="K227" s="19" t="n"/>
      <c r="M227" s="18">
        <f>IF(OR(K227="",J227="Inscrito",J227="Perdido"),"",TODAY()-K227)</f>
        <v/>
      </c>
    </row>
    <row r="228">
      <c r="A228" s="18">
        <f>IF(C228="","","L"&amp;TEXT(ROW()-1,"000"))</f>
        <v/>
      </c>
      <c r="B228" s="19" t="n"/>
      <c r="K228" s="19" t="n"/>
      <c r="M228" s="18">
        <f>IF(OR(K228="",J228="Inscrito",J228="Perdido"),"",TODAY()-K228)</f>
        <v/>
      </c>
    </row>
    <row r="229">
      <c r="A229" s="18">
        <f>IF(C229="","","L"&amp;TEXT(ROW()-1,"000"))</f>
        <v/>
      </c>
      <c r="B229" s="19" t="n"/>
      <c r="K229" s="19" t="n"/>
      <c r="M229" s="18">
        <f>IF(OR(K229="",J229="Inscrito",J229="Perdido"),"",TODAY()-K229)</f>
        <v/>
      </c>
    </row>
    <row r="230">
      <c r="A230" s="18">
        <f>IF(C230="","","L"&amp;TEXT(ROW()-1,"000"))</f>
        <v/>
      </c>
      <c r="B230" s="19" t="n"/>
      <c r="K230" s="19" t="n"/>
      <c r="M230" s="18">
        <f>IF(OR(K230="",J230="Inscrito",J230="Perdido"),"",TODAY()-K230)</f>
        <v/>
      </c>
    </row>
    <row r="231">
      <c r="A231" s="18">
        <f>IF(C231="","","L"&amp;TEXT(ROW()-1,"000"))</f>
        <v/>
      </c>
      <c r="B231" s="19" t="n"/>
      <c r="K231" s="19" t="n"/>
      <c r="M231" s="18">
        <f>IF(OR(K231="",J231="Inscrito",J231="Perdido"),"",TODAY()-K231)</f>
        <v/>
      </c>
    </row>
    <row r="232">
      <c r="A232" s="18">
        <f>IF(C232="","","L"&amp;TEXT(ROW()-1,"000"))</f>
        <v/>
      </c>
      <c r="B232" s="19" t="n"/>
      <c r="K232" s="19" t="n"/>
      <c r="M232" s="18">
        <f>IF(OR(K232="",J232="Inscrito",J232="Perdido"),"",TODAY()-K232)</f>
        <v/>
      </c>
    </row>
    <row r="233">
      <c r="A233" s="18">
        <f>IF(C233="","","L"&amp;TEXT(ROW()-1,"000"))</f>
        <v/>
      </c>
      <c r="B233" s="19" t="n"/>
      <c r="K233" s="19" t="n"/>
      <c r="M233" s="18">
        <f>IF(OR(K233="",J233="Inscrito",J233="Perdido"),"",TODAY()-K233)</f>
        <v/>
      </c>
    </row>
    <row r="234">
      <c r="A234" s="18">
        <f>IF(C234="","","L"&amp;TEXT(ROW()-1,"000"))</f>
        <v/>
      </c>
      <c r="B234" s="19" t="n"/>
      <c r="K234" s="19" t="n"/>
      <c r="M234" s="18">
        <f>IF(OR(K234="",J234="Inscrito",J234="Perdido"),"",TODAY()-K234)</f>
        <v/>
      </c>
    </row>
    <row r="235">
      <c r="A235" s="18">
        <f>IF(C235="","","L"&amp;TEXT(ROW()-1,"000"))</f>
        <v/>
      </c>
      <c r="B235" s="19" t="n"/>
      <c r="K235" s="19" t="n"/>
      <c r="M235" s="18">
        <f>IF(OR(K235="",J235="Inscrito",J235="Perdido"),"",TODAY()-K235)</f>
        <v/>
      </c>
    </row>
    <row r="236">
      <c r="A236" s="18">
        <f>IF(C236="","","L"&amp;TEXT(ROW()-1,"000"))</f>
        <v/>
      </c>
      <c r="B236" s="19" t="n"/>
      <c r="K236" s="19" t="n"/>
      <c r="M236" s="18">
        <f>IF(OR(K236="",J236="Inscrito",J236="Perdido"),"",TODAY()-K236)</f>
        <v/>
      </c>
    </row>
    <row r="237">
      <c r="A237" s="18">
        <f>IF(C237="","","L"&amp;TEXT(ROW()-1,"000"))</f>
        <v/>
      </c>
      <c r="B237" s="19" t="n"/>
      <c r="K237" s="19" t="n"/>
      <c r="M237" s="18">
        <f>IF(OR(K237="",J237="Inscrito",J237="Perdido"),"",TODAY()-K237)</f>
        <v/>
      </c>
    </row>
    <row r="238">
      <c r="A238" s="18">
        <f>IF(C238="","","L"&amp;TEXT(ROW()-1,"000"))</f>
        <v/>
      </c>
      <c r="B238" s="19" t="n"/>
      <c r="K238" s="19" t="n"/>
      <c r="M238" s="18">
        <f>IF(OR(K238="",J238="Inscrito",J238="Perdido"),"",TODAY()-K238)</f>
        <v/>
      </c>
    </row>
    <row r="239">
      <c r="A239" s="18">
        <f>IF(C239="","","L"&amp;TEXT(ROW()-1,"000"))</f>
        <v/>
      </c>
      <c r="B239" s="19" t="n"/>
      <c r="K239" s="19" t="n"/>
      <c r="M239" s="18">
        <f>IF(OR(K239="",J239="Inscrito",J239="Perdido"),"",TODAY()-K239)</f>
        <v/>
      </c>
    </row>
    <row r="240">
      <c r="A240" s="18">
        <f>IF(C240="","","L"&amp;TEXT(ROW()-1,"000"))</f>
        <v/>
      </c>
      <c r="B240" s="19" t="n"/>
      <c r="K240" s="19" t="n"/>
      <c r="M240" s="18">
        <f>IF(OR(K240="",J240="Inscrito",J240="Perdido"),"",TODAY()-K240)</f>
        <v/>
      </c>
    </row>
    <row r="241">
      <c r="A241" s="18">
        <f>IF(C241="","","L"&amp;TEXT(ROW()-1,"000"))</f>
        <v/>
      </c>
      <c r="B241" s="19" t="n"/>
      <c r="K241" s="19" t="n"/>
      <c r="M241" s="18">
        <f>IF(OR(K241="",J241="Inscrito",J241="Perdido"),"",TODAY()-K241)</f>
        <v/>
      </c>
    </row>
    <row r="242">
      <c r="A242" s="18">
        <f>IF(C242="","","L"&amp;TEXT(ROW()-1,"000"))</f>
        <v/>
      </c>
      <c r="B242" s="19" t="n"/>
      <c r="K242" s="19" t="n"/>
      <c r="M242" s="18">
        <f>IF(OR(K242="",J242="Inscrito",J242="Perdido"),"",TODAY()-K242)</f>
        <v/>
      </c>
    </row>
    <row r="243">
      <c r="A243" s="18">
        <f>IF(C243="","","L"&amp;TEXT(ROW()-1,"000"))</f>
        <v/>
      </c>
      <c r="B243" s="19" t="n"/>
      <c r="K243" s="19" t="n"/>
      <c r="M243" s="18">
        <f>IF(OR(K243="",J243="Inscrito",J243="Perdido"),"",TODAY()-K243)</f>
        <v/>
      </c>
    </row>
    <row r="244">
      <c r="A244" s="18">
        <f>IF(C244="","","L"&amp;TEXT(ROW()-1,"000"))</f>
        <v/>
      </c>
      <c r="B244" s="19" t="n"/>
      <c r="K244" s="19" t="n"/>
      <c r="M244" s="18">
        <f>IF(OR(K244="",J244="Inscrito",J244="Perdido"),"",TODAY()-K244)</f>
        <v/>
      </c>
    </row>
    <row r="245">
      <c r="A245" s="18">
        <f>IF(C245="","","L"&amp;TEXT(ROW()-1,"000"))</f>
        <v/>
      </c>
      <c r="B245" s="19" t="n"/>
      <c r="K245" s="19" t="n"/>
      <c r="M245" s="18">
        <f>IF(OR(K245="",J245="Inscrito",J245="Perdido"),"",TODAY()-K245)</f>
        <v/>
      </c>
    </row>
    <row r="246">
      <c r="A246" s="18">
        <f>IF(C246="","","L"&amp;TEXT(ROW()-1,"000"))</f>
        <v/>
      </c>
      <c r="B246" s="19" t="n"/>
      <c r="K246" s="19" t="n"/>
      <c r="M246" s="18">
        <f>IF(OR(K246="",J246="Inscrito",J246="Perdido"),"",TODAY()-K246)</f>
        <v/>
      </c>
    </row>
    <row r="247">
      <c r="A247" s="18">
        <f>IF(C247="","","L"&amp;TEXT(ROW()-1,"000"))</f>
        <v/>
      </c>
      <c r="B247" s="19" t="n"/>
      <c r="K247" s="19" t="n"/>
      <c r="M247" s="18">
        <f>IF(OR(K247="",J247="Inscrito",J247="Perdido"),"",TODAY()-K247)</f>
        <v/>
      </c>
    </row>
    <row r="248">
      <c r="A248" s="18">
        <f>IF(C248="","","L"&amp;TEXT(ROW()-1,"000"))</f>
        <v/>
      </c>
      <c r="B248" s="19" t="n"/>
      <c r="K248" s="19" t="n"/>
      <c r="M248" s="18">
        <f>IF(OR(K248="",J248="Inscrito",J248="Perdido"),"",TODAY()-K248)</f>
        <v/>
      </c>
    </row>
    <row r="249">
      <c r="A249" s="18">
        <f>IF(C249="","","L"&amp;TEXT(ROW()-1,"000"))</f>
        <v/>
      </c>
      <c r="B249" s="19" t="n"/>
      <c r="K249" s="19" t="n"/>
      <c r="M249" s="18">
        <f>IF(OR(K249="",J249="Inscrito",J249="Perdido"),"",TODAY()-K249)</f>
        <v/>
      </c>
    </row>
    <row r="250">
      <c r="A250" s="18">
        <f>IF(C250="","","L"&amp;TEXT(ROW()-1,"000"))</f>
        <v/>
      </c>
      <c r="B250" s="19" t="n"/>
      <c r="K250" s="19" t="n"/>
      <c r="M250" s="18">
        <f>IF(OR(K250="",J250="Inscrito",J250="Perdido"),"",TODAY()-K250)</f>
        <v/>
      </c>
    </row>
    <row r="251">
      <c r="A251" s="18">
        <f>IF(C251="","","L"&amp;TEXT(ROW()-1,"000"))</f>
        <v/>
      </c>
      <c r="B251" s="19" t="n"/>
      <c r="K251" s="19" t="n"/>
      <c r="M251" s="18">
        <f>IF(OR(K251="",J251="Inscrito",J251="Perdido"),"",TODAY()-K251)</f>
        <v/>
      </c>
    </row>
    <row r="252">
      <c r="A252" s="18">
        <f>IF(C252="","","L"&amp;TEXT(ROW()-1,"000"))</f>
        <v/>
      </c>
      <c r="B252" s="19" t="n"/>
      <c r="K252" s="19" t="n"/>
      <c r="M252" s="18">
        <f>IF(OR(K252="",J252="Inscrito",J252="Perdido"),"",TODAY()-K252)</f>
        <v/>
      </c>
    </row>
    <row r="253">
      <c r="A253" s="18">
        <f>IF(C253="","","L"&amp;TEXT(ROW()-1,"000"))</f>
        <v/>
      </c>
      <c r="B253" s="19" t="n"/>
      <c r="K253" s="19" t="n"/>
      <c r="M253" s="18">
        <f>IF(OR(K253="",J253="Inscrito",J253="Perdido"),"",TODAY()-K253)</f>
        <v/>
      </c>
    </row>
    <row r="254">
      <c r="A254" s="18">
        <f>IF(C254="","","L"&amp;TEXT(ROW()-1,"000"))</f>
        <v/>
      </c>
      <c r="B254" s="19" t="n"/>
      <c r="K254" s="19" t="n"/>
      <c r="M254" s="18">
        <f>IF(OR(K254="",J254="Inscrito",J254="Perdido"),"",TODAY()-K254)</f>
        <v/>
      </c>
    </row>
    <row r="255">
      <c r="A255" s="18">
        <f>IF(C255="","","L"&amp;TEXT(ROW()-1,"000"))</f>
        <v/>
      </c>
      <c r="B255" s="19" t="n"/>
      <c r="K255" s="19" t="n"/>
      <c r="M255" s="18">
        <f>IF(OR(K255="",J255="Inscrito",J255="Perdido"),"",TODAY()-K255)</f>
        <v/>
      </c>
    </row>
    <row r="256">
      <c r="A256" s="18">
        <f>IF(C256="","","L"&amp;TEXT(ROW()-1,"000"))</f>
        <v/>
      </c>
      <c r="B256" s="19" t="n"/>
      <c r="K256" s="19" t="n"/>
      <c r="M256" s="18">
        <f>IF(OR(K256="",J256="Inscrito",J256="Perdido"),"",TODAY()-K256)</f>
        <v/>
      </c>
    </row>
    <row r="257">
      <c r="A257" s="18">
        <f>IF(C257="","","L"&amp;TEXT(ROW()-1,"000"))</f>
        <v/>
      </c>
      <c r="B257" s="19" t="n"/>
      <c r="K257" s="19" t="n"/>
      <c r="M257" s="18">
        <f>IF(OR(K257="",J257="Inscrito",J257="Perdido"),"",TODAY()-K257)</f>
        <v/>
      </c>
    </row>
    <row r="258">
      <c r="A258" s="18">
        <f>IF(C258="","","L"&amp;TEXT(ROW()-1,"000"))</f>
        <v/>
      </c>
      <c r="B258" s="19" t="n"/>
      <c r="K258" s="19" t="n"/>
      <c r="M258" s="18">
        <f>IF(OR(K258="",J258="Inscrito",J258="Perdido"),"",TODAY()-K258)</f>
        <v/>
      </c>
    </row>
    <row r="259">
      <c r="A259" s="18">
        <f>IF(C259="","","L"&amp;TEXT(ROW()-1,"000"))</f>
        <v/>
      </c>
      <c r="B259" s="19" t="n"/>
      <c r="K259" s="19" t="n"/>
      <c r="M259" s="18">
        <f>IF(OR(K259="",J259="Inscrito",J259="Perdido"),"",TODAY()-K259)</f>
        <v/>
      </c>
    </row>
    <row r="260">
      <c r="A260" s="18">
        <f>IF(C260="","","L"&amp;TEXT(ROW()-1,"000"))</f>
        <v/>
      </c>
      <c r="B260" s="19" t="n"/>
      <c r="K260" s="19" t="n"/>
      <c r="M260" s="18">
        <f>IF(OR(K260="",J260="Inscrito",J260="Perdido"),"",TODAY()-K260)</f>
        <v/>
      </c>
    </row>
    <row r="261">
      <c r="A261" s="18">
        <f>IF(C261="","","L"&amp;TEXT(ROW()-1,"000"))</f>
        <v/>
      </c>
      <c r="B261" s="19" t="n"/>
      <c r="K261" s="19" t="n"/>
      <c r="M261" s="18">
        <f>IF(OR(K261="",J261="Inscrito",J261="Perdido"),"",TODAY()-K261)</f>
        <v/>
      </c>
    </row>
    <row r="262">
      <c r="A262" s="18">
        <f>IF(C262="","","L"&amp;TEXT(ROW()-1,"000"))</f>
        <v/>
      </c>
      <c r="B262" s="19" t="n"/>
      <c r="K262" s="19" t="n"/>
      <c r="M262" s="18">
        <f>IF(OR(K262="",J262="Inscrito",J262="Perdido"),"",TODAY()-K262)</f>
        <v/>
      </c>
    </row>
    <row r="263">
      <c r="A263" s="18">
        <f>IF(C263="","","L"&amp;TEXT(ROW()-1,"000"))</f>
        <v/>
      </c>
      <c r="B263" s="19" t="n"/>
      <c r="K263" s="19" t="n"/>
      <c r="M263" s="18">
        <f>IF(OR(K263="",J263="Inscrito",J263="Perdido"),"",TODAY()-K263)</f>
        <v/>
      </c>
    </row>
    <row r="264">
      <c r="A264" s="18">
        <f>IF(C264="","","L"&amp;TEXT(ROW()-1,"000"))</f>
        <v/>
      </c>
      <c r="B264" s="19" t="n"/>
      <c r="K264" s="19" t="n"/>
      <c r="M264" s="18">
        <f>IF(OR(K264="",J264="Inscrito",J264="Perdido"),"",TODAY()-K264)</f>
        <v/>
      </c>
    </row>
    <row r="265">
      <c r="A265" s="18">
        <f>IF(C265="","","L"&amp;TEXT(ROW()-1,"000"))</f>
        <v/>
      </c>
      <c r="B265" s="19" t="n"/>
      <c r="K265" s="19" t="n"/>
      <c r="M265" s="18">
        <f>IF(OR(K265="",J265="Inscrito",J265="Perdido"),"",TODAY()-K265)</f>
        <v/>
      </c>
    </row>
    <row r="266">
      <c r="A266" s="18">
        <f>IF(C266="","","L"&amp;TEXT(ROW()-1,"000"))</f>
        <v/>
      </c>
      <c r="B266" s="19" t="n"/>
      <c r="K266" s="19" t="n"/>
      <c r="M266" s="18">
        <f>IF(OR(K266="",J266="Inscrito",J266="Perdido"),"",TODAY()-K266)</f>
        <v/>
      </c>
    </row>
    <row r="267">
      <c r="A267" s="18">
        <f>IF(C267="","","L"&amp;TEXT(ROW()-1,"000"))</f>
        <v/>
      </c>
      <c r="B267" s="19" t="n"/>
      <c r="K267" s="19" t="n"/>
      <c r="M267" s="18">
        <f>IF(OR(K267="",J267="Inscrito",J267="Perdido"),"",TODAY()-K267)</f>
        <v/>
      </c>
    </row>
    <row r="268">
      <c r="A268" s="18">
        <f>IF(C268="","","L"&amp;TEXT(ROW()-1,"000"))</f>
        <v/>
      </c>
      <c r="B268" s="19" t="n"/>
      <c r="K268" s="19" t="n"/>
      <c r="M268" s="18">
        <f>IF(OR(K268="",J268="Inscrito",J268="Perdido"),"",TODAY()-K268)</f>
        <v/>
      </c>
    </row>
    <row r="269">
      <c r="A269" s="18">
        <f>IF(C269="","","L"&amp;TEXT(ROW()-1,"000"))</f>
        <v/>
      </c>
      <c r="B269" s="19" t="n"/>
      <c r="K269" s="19" t="n"/>
      <c r="M269" s="18">
        <f>IF(OR(K269="",J269="Inscrito",J269="Perdido"),"",TODAY()-K269)</f>
        <v/>
      </c>
    </row>
    <row r="270">
      <c r="A270" s="18">
        <f>IF(C270="","","L"&amp;TEXT(ROW()-1,"000"))</f>
        <v/>
      </c>
      <c r="B270" s="19" t="n"/>
      <c r="K270" s="19" t="n"/>
      <c r="M270" s="18">
        <f>IF(OR(K270="",J270="Inscrito",J270="Perdido"),"",TODAY()-K270)</f>
        <v/>
      </c>
    </row>
    <row r="271">
      <c r="A271" s="18">
        <f>IF(C271="","","L"&amp;TEXT(ROW()-1,"000"))</f>
        <v/>
      </c>
      <c r="B271" s="19" t="n"/>
      <c r="K271" s="19" t="n"/>
      <c r="M271" s="18">
        <f>IF(OR(K271="",J271="Inscrito",J271="Perdido"),"",TODAY()-K271)</f>
        <v/>
      </c>
    </row>
    <row r="272">
      <c r="A272" s="18">
        <f>IF(C272="","","L"&amp;TEXT(ROW()-1,"000"))</f>
        <v/>
      </c>
      <c r="B272" s="19" t="n"/>
      <c r="K272" s="19" t="n"/>
      <c r="M272" s="18">
        <f>IF(OR(K272="",J272="Inscrito",J272="Perdido"),"",TODAY()-K272)</f>
        <v/>
      </c>
    </row>
    <row r="273">
      <c r="A273" s="18">
        <f>IF(C273="","","L"&amp;TEXT(ROW()-1,"000"))</f>
        <v/>
      </c>
      <c r="B273" s="19" t="n"/>
      <c r="K273" s="19" t="n"/>
      <c r="M273" s="18">
        <f>IF(OR(K273="",J273="Inscrito",J273="Perdido"),"",TODAY()-K273)</f>
        <v/>
      </c>
    </row>
    <row r="274">
      <c r="A274" s="18">
        <f>IF(C274="","","L"&amp;TEXT(ROW()-1,"000"))</f>
        <v/>
      </c>
      <c r="B274" s="19" t="n"/>
      <c r="K274" s="19" t="n"/>
      <c r="M274" s="18">
        <f>IF(OR(K274="",J274="Inscrito",J274="Perdido"),"",TODAY()-K274)</f>
        <v/>
      </c>
    </row>
    <row r="275">
      <c r="A275" s="18">
        <f>IF(C275="","","L"&amp;TEXT(ROW()-1,"000"))</f>
        <v/>
      </c>
      <c r="B275" s="19" t="n"/>
      <c r="K275" s="19" t="n"/>
      <c r="M275" s="18">
        <f>IF(OR(K275="",J275="Inscrito",J275="Perdido"),"",TODAY()-K275)</f>
        <v/>
      </c>
    </row>
    <row r="276">
      <c r="A276" s="18">
        <f>IF(C276="","","L"&amp;TEXT(ROW()-1,"000"))</f>
        <v/>
      </c>
      <c r="B276" s="19" t="n"/>
      <c r="K276" s="19" t="n"/>
      <c r="M276" s="18">
        <f>IF(OR(K276="",J276="Inscrito",J276="Perdido"),"",TODAY()-K276)</f>
        <v/>
      </c>
    </row>
    <row r="277">
      <c r="A277" s="18">
        <f>IF(C277="","","L"&amp;TEXT(ROW()-1,"000"))</f>
        <v/>
      </c>
      <c r="B277" s="19" t="n"/>
      <c r="K277" s="19" t="n"/>
      <c r="M277" s="18">
        <f>IF(OR(K277="",J277="Inscrito",J277="Perdido"),"",TODAY()-K277)</f>
        <v/>
      </c>
    </row>
    <row r="278">
      <c r="A278" s="18">
        <f>IF(C278="","","L"&amp;TEXT(ROW()-1,"000"))</f>
        <v/>
      </c>
      <c r="B278" s="19" t="n"/>
      <c r="K278" s="19" t="n"/>
      <c r="M278" s="18">
        <f>IF(OR(K278="",J278="Inscrito",J278="Perdido"),"",TODAY()-K278)</f>
        <v/>
      </c>
    </row>
    <row r="279">
      <c r="A279" s="18">
        <f>IF(C279="","","L"&amp;TEXT(ROW()-1,"000"))</f>
        <v/>
      </c>
      <c r="B279" s="19" t="n"/>
      <c r="K279" s="19" t="n"/>
      <c r="M279" s="18">
        <f>IF(OR(K279="",J279="Inscrito",J279="Perdido"),"",TODAY()-K279)</f>
        <v/>
      </c>
    </row>
    <row r="280">
      <c r="A280" s="18">
        <f>IF(C280="","","L"&amp;TEXT(ROW()-1,"000"))</f>
        <v/>
      </c>
      <c r="B280" s="19" t="n"/>
      <c r="K280" s="19" t="n"/>
      <c r="M280" s="18">
        <f>IF(OR(K280="",J280="Inscrito",J280="Perdido"),"",TODAY()-K280)</f>
        <v/>
      </c>
    </row>
    <row r="281">
      <c r="A281" s="18">
        <f>IF(C281="","","L"&amp;TEXT(ROW()-1,"000"))</f>
        <v/>
      </c>
      <c r="B281" s="19" t="n"/>
      <c r="K281" s="19" t="n"/>
      <c r="M281" s="18">
        <f>IF(OR(K281="",J281="Inscrito",J281="Perdido"),"",TODAY()-K281)</f>
        <v/>
      </c>
    </row>
    <row r="282">
      <c r="A282" s="18">
        <f>IF(C282="","","L"&amp;TEXT(ROW()-1,"000"))</f>
        <v/>
      </c>
      <c r="B282" s="19" t="n"/>
      <c r="K282" s="19" t="n"/>
      <c r="M282" s="18">
        <f>IF(OR(K282="",J282="Inscrito",J282="Perdido"),"",TODAY()-K282)</f>
        <v/>
      </c>
    </row>
    <row r="283">
      <c r="A283" s="18">
        <f>IF(C283="","","L"&amp;TEXT(ROW()-1,"000"))</f>
        <v/>
      </c>
      <c r="B283" s="19" t="n"/>
      <c r="K283" s="19" t="n"/>
      <c r="M283" s="18">
        <f>IF(OR(K283="",J283="Inscrito",J283="Perdido"),"",TODAY()-K283)</f>
        <v/>
      </c>
    </row>
    <row r="284">
      <c r="A284" s="18">
        <f>IF(C284="","","L"&amp;TEXT(ROW()-1,"000"))</f>
        <v/>
      </c>
      <c r="B284" s="19" t="n"/>
      <c r="K284" s="19" t="n"/>
      <c r="M284" s="18">
        <f>IF(OR(K284="",J284="Inscrito",J284="Perdido"),"",TODAY()-K284)</f>
        <v/>
      </c>
    </row>
    <row r="285">
      <c r="A285" s="18">
        <f>IF(C285="","","L"&amp;TEXT(ROW()-1,"000"))</f>
        <v/>
      </c>
      <c r="B285" s="19" t="n"/>
      <c r="K285" s="19" t="n"/>
      <c r="M285" s="18">
        <f>IF(OR(K285="",J285="Inscrito",J285="Perdido"),"",TODAY()-K285)</f>
        <v/>
      </c>
    </row>
    <row r="286">
      <c r="A286" s="18">
        <f>IF(C286="","","L"&amp;TEXT(ROW()-1,"000"))</f>
        <v/>
      </c>
      <c r="B286" s="19" t="n"/>
      <c r="K286" s="19" t="n"/>
      <c r="M286" s="18">
        <f>IF(OR(K286="",J286="Inscrito",J286="Perdido"),"",TODAY()-K286)</f>
        <v/>
      </c>
    </row>
    <row r="287">
      <c r="A287" s="18">
        <f>IF(C287="","","L"&amp;TEXT(ROW()-1,"000"))</f>
        <v/>
      </c>
      <c r="B287" s="19" t="n"/>
      <c r="K287" s="19" t="n"/>
      <c r="M287" s="18">
        <f>IF(OR(K287="",J287="Inscrito",J287="Perdido"),"",TODAY()-K287)</f>
        <v/>
      </c>
    </row>
    <row r="288">
      <c r="A288" s="18">
        <f>IF(C288="","","L"&amp;TEXT(ROW()-1,"000"))</f>
        <v/>
      </c>
      <c r="B288" s="19" t="n"/>
      <c r="K288" s="19" t="n"/>
      <c r="M288" s="18">
        <f>IF(OR(K288="",J288="Inscrito",J288="Perdido"),"",TODAY()-K288)</f>
        <v/>
      </c>
    </row>
    <row r="289">
      <c r="A289" s="18">
        <f>IF(C289="","","L"&amp;TEXT(ROW()-1,"000"))</f>
        <v/>
      </c>
      <c r="B289" s="19" t="n"/>
      <c r="K289" s="19" t="n"/>
      <c r="M289" s="18">
        <f>IF(OR(K289="",J289="Inscrito",J289="Perdido"),"",TODAY()-K289)</f>
        <v/>
      </c>
    </row>
    <row r="290">
      <c r="A290" s="18">
        <f>IF(C290="","","L"&amp;TEXT(ROW()-1,"000"))</f>
        <v/>
      </c>
      <c r="B290" s="19" t="n"/>
      <c r="K290" s="19" t="n"/>
      <c r="M290" s="18">
        <f>IF(OR(K290="",J290="Inscrito",J290="Perdido"),"",TODAY()-K290)</f>
        <v/>
      </c>
    </row>
    <row r="291">
      <c r="A291" s="18">
        <f>IF(C291="","","L"&amp;TEXT(ROW()-1,"000"))</f>
        <v/>
      </c>
      <c r="B291" s="19" t="n"/>
      <c r="K291" s="19" t="n"/>
      <c r="M291" s="18">
        <f>IF(OR(K291="",J291="Inscrito",J291="Perdido"),"",TODAY()-K291)</f>
        <v/>
      </c>
    </row>
    <row r="292">
      <c r="A292" s="18">
        <f>IF(C292="","","L"&amp;TEXT(ROW()-1,"000"))</f>
        <v/>
      </c>
      <c r="B292" s="19" t="n"/>
      <c r="K292" s="19" t="n"/>
      <c r="M292" s="18">
        <f>IF(OR(K292="",J292="Inscrito",J292="Perdido"),"",TODAY()-K292)</f>
        <v/>
      </c>
    </row>
    <row r="293">
      <c r="A293" s="18">
        <f>IF(C293="","","L"&amp;TEXT(ROW()-1,"000"))</f>
        <v/>
      </c>
      <c r="B293" s="19" t="n"/>
      <c r="K293" s="19" t="n"/>
      <c r="M293" s="18">
        <f>IF(OR(K293="",J293="Inscrito",J293="Perdido"),"",TODAY()-K293)</f>
        <v/>
      </c>
    </row>
    <row r="294">
      <c r="A294" s="18">
        <f>IF(C294="","","L"&amp;TEXT(ROW()-1,"000"))</f>
        <v/>
      </c>
      <c r="B294" s="19" t="n"/>
      <c r="K294" s="19" t="n"/>
      <c r="M294" s="18">
        <f>IF(OR(K294="",J294="Inscrito",J294="Perdido"),"",TODAY()-K294)</f>
        <v/>
      </c>
    </row>
    <row r="295">
      <c r="A295" s="18">
        <f>IF(C295="","","L"&amp;TEXT(ROW()-1,"000"))</f>
        <v/>
      </c>
      <c r="B295" s="19" t="n"/>
      <c r="K295" s="19" t="n"/>
      <c r="M295" s="18">
        <f>IF(OR(K295="",J295="Inscrito",J295="Perdido"),"",TODAY()-K295)</f>
        <v/>
      </c>
    </row>
    <row r="296">
      <c r="A296" s="18">
        <f>IF(C296="","","L"&amp;TEXT(ROW()-1,"000"))</f>
        <v/>
      </c>
      <c r="B296" s="19" t="n"/>
      <c r="K296" s="19" t="n"/>
      <c r="M296" s="18">
        <f>IF(OR(K296="",J296="Inscrito",J296="Perdido"),"",TODAY()-K296)</f>
        <v/>
      </c>
    </row>
    <row r="297">
      <c r="A297" s="18">
        <f>IF(C297="","","L"&amp;TEXT(ROW()-1,"000"))</f>
        <v/>
      </c>
      <c r="B297" s="19" t="n"/>
      <c r="K297" s="19" t="n"/>
      <c r="M297" s="18">
        <f>IF(OR(K297="",J297="Inscrito",J297="Perdido"),"",TODAY()-K297)</f>
        <v/>
      </c>
    </row>
    <row r="298">
      <c r="A298" s="18">
        <f>IF(C298="","","L"&amp;TEXT(ROW()-1,"000"))</f>
        <v/>
      </c>
      <c r="B298" s="19" t="n"/>
      <c r="K298" s="19" t="n"/>
      <c r="M298" s="18">
        <f>IF(OR(K298="",J298="Inscrito",J298="Perdido"),"",TODAY()-K298)</f>
        <v/>
      </c>
    </row>
    <row r="299">
      <c r="A299" s="18">
        <f>IF(C299="","","L"&amp;TEXT(ROW()-1,"000"))</f>
        <v/>
      </c>
      <c r="B299" s="19" t="n"/>
      <c r="K299" s="19" t="n"/>
      <c r="M299" s="18">
        <f>IF(OR(K299="",J299="Inscrito",J299="Perdido"),"",TODAY()-K299)</f>
        <v/>
      </c>
    </row>
    <row r="300">
      <c r="A300" s="18">
        <f>IF(C300="","","L"&amp;TEXT(ROW()-1,"000"))</f>
        <v/>
      </c>
      <c r="B300" s="19" t="n"/>
      <c r="K300" s="19" t="n"/>
      <c r="M300" s="18">
        <f>IF(OR(K300="",J300="Inscrito",J300="Perdido"),"",TODAY()-K300)</f>
        <v/>
      </c>
    </row>
    <row r="301">
      <c r="A301" s="18">
        <f>IF(C301="","","L"&amp;TEXT(ROW()-1,"000"))</f>
        <v/>
      </c>
      <c r="B301" s="19" t="n"/>
      <c r="K301" s="19" t="n"/>
      <c r="M301" s="18">
        <f>IF(OR(K301="",J301="Inscrito",J301="Perdido"),"",TODAY()-K301)</f>
        <v/>
      </c>
    </row>
    <row r="302">
      <c r="A302" s="18">
        <f>IF(C302="","","L"&amp;TEXT(ROW()-1,"000"))</f>
        <v/>
      </c>
      <c r="B302" s="19" t="n"/>
      <c r="K302" s="19" t="n"/>
      <c r="M302" s="18">
        <f>IF(OR(K302="",J302="Inscrito",J302="Perdido"),"",TODAY()-K302)</f>
        <v/>
      </c>
    </row>
    <row r="303">
      <c r="A303" s="18">
        <f>IF(C303="","","L"&amp;TEXT(ROW()-1,"000"))</f>
        <v/>
      </c>
      <c r="B303" s="19" t="n"/>
      <c r="K303" s="19" t="n"/>
      <c r="M303" s="18">
        <f>IF(OR(K303="",J303="Inscrito",J303="Perdido"),"",TODAY()-K303)</f>
        <v/>
      </c>
    </row>
    <row r="304">
      <c r="A304" s="18">
        <f>IF(C304="","","L"&amp;TEXT(ROW()-1,"000"))</f>
        <v/>
      </c>
      <c r="B304" s="19" t="n"/>
      <c r="K304" s="19" t="n"/>
      <c r="M304" s="18">
        <f>IF(OR(K304="",J304="Inscrito",J304="Perdido"),"",TODAY()-K304)</f>
        <v/>
      </c>
    </row>
    <row r="305">
      <c r="A305" s="18">
        <f>IF(C305="","","L"&amp;TEXT(ROW()-1,"000"))</f>
        <v/>
      </c>
      <c r="B305" s="19" t="n"/>
      <c r="K305" s="19" t="n"/>
      <c r="M305" s="18">
        <f>IF(OR(K305="",J305="Inscrito",J305="Perdido"),"",TODAY()-K305)</f>
        <v/>
      </c>
    </row>
    <row r="306">
      <c r="A306" s="18">
        <f>IF(C306="","","L"&amp;TEXT(ROW()-1,"000"))</f>
        <v/>
      </c>
      <c r="B306" s="19" t="n"/>
      <c r="K306" s="19" t="n"/>
      <c r="M306" s="18">
        <f>IF(OR(K306="",J306="Inscrito",J306="Perdido"),"",TODAY()-K306)</f>
        <v/>
      </c>
    </row>
    <row r="307">
      <c r="A307" s="18">
        <f>IF(C307="","","L"&amp;TEXT(ROW()-1,"000"))</f>
        <v/>
      </c>
      <c r="B307" s="19" t="n"/>
      <c r="K307" s="19" t="n"/>
      <c r="M307" s="18">
        <f>IF(OR(K307="",J307="Inscrito",J307="Perdido"),"",TODAY()-K307)</f>
        <v/>
      </c>
    </row>
    <row r="308">
      <c r="A308" s="18">
        <f>IF(C308="","","L"&amp;TEXT(ROW()-1,"000"))</f>
        <v/>
      </c>
      <c r="B308" s="19" t="n"/>
      <c r="K308" s="19" t="n"/>
      <c r="M308" s="18">
        <f>IF(OR(K308="",J308="Inscrito",J308="Perdido"),"",TODAY()-K308)</f>
        <v/>
      </c>
    </row>
    <row r="309">
      <c r="A309" s="18">
        <f>IF(C309="","","L"&amp;TEXT(ROW()-1,"000"))</f>
        <v/>
      </c>
      <c r="B309" s="19" t="n"/>
      <c r="K309" s="19" t="n"/>
      <c r="M309" s="18">
        <f>IF(OR(K309="",J309="Inscrito",J309="Perdido"),"",TODAY()-K309)</f>
        <v/>
      </c>
    </row>
    <row r="310">
      <c r="A310" s="18">
        <f>IF(C310="","","L"&amp;TEXT(ROW()-1,"000"))</f>
        <v/>
      </c>
      <c r="B310" s="19" t="n"/>
      <c r="K310" s="19" t="n"/>
      <c r="M310" s="18">
        <f>IF(OR(K310="",J310="Inscrito",J310="Perdido"),"",TODAY()-K310)</f>
        <v/>
      </c>
    </row>
    <row r="311">
      <c r="A311" s="18">
        <f>IF(C311="","","L"&amp;TEXT(ROW()-1,"000"))</f>
        <v/>
      </c>
      <c r="B311" s="19" t="n"/>
      <c r="K311" s="19" t="n"/>
      <c r="M311" s="18">
        <f>IF(OR(K311="",J311="Inscrito",J311="Perdido"),"",TODAY()-K311)</f>
        <v/>
      </c>
    </row>
    <row r="312">
      <c r="A312" s="18">
        <f>IF(C312="","","L"&amp;TEXT(ROW()-1,"000"))</f>
        <v/>
      </c>
      <c r="B312" s="19" t="n"/>
      <c r="K312" s="19" t="n"/>
      <c r="M312" s="18">
        <f>IF(OR(K312="",J312="Inscrito",J312="Perdido"),"",TODAY()-K312)</f>
        <v/>
      </c>
    </row>
    <row r="313">
      <c r="A313" s="18">
        <f>IF(C313="","","L"&amp;TEXT(ROW()-1,"000"))</f>
        <v/>
      </c>
      <c r="B313" s="19" t="n"/>
      <c r="K313" s="19" t="n"/>
      <c r="M313" s="18">
        <f>IF(OR(K313="",J313="Inscrito",J313="Perdido"),"",TODAY()-K313)</f>
        <v/>
      </c>
    </row>
    <row r="314">
      <c r="A314" s="18">
        <f>IF(C314="","","L"&amp;TEXT(ROW()-1,"000"))</f>
        <v/>
      </c>
      <c r="B314" s="19" t="n"/>
      <c r="K314" s="19" t="n"/>
      <c r="M314" s="18">
        <f>IF(OR(K314="",J314="Inscrito",J314="Perdido"),"",TODAY()-K314)</f>
        <v/>
      </c>
    </row>
    <row r="315">
      <c r="A315" s="18">
        <f>IF(C315="","","L"&amp;TEXT(ROW()-1,"000"))</f>
        <v/>
      </c>
      <c r="B315" s="19" t="n"/>
      <c r="K315" s="19" t="n"/>
      <c r="M315" s="18">
        <f>IF(OR(K315="",J315="Inscrito",J315="Perdido"),"",TODAY()-K315)</f>
        <v/>
      </c>
    </row>
    <row r="316">
      <c r="A316" s="18">
        <f>IF(C316="","","L"&amp;TEXT(ROW()-1,"000"))</f>
        <v/>
      </c>
      <c r="B316" s="19" t="n"/>
      <c r="K316" s="19" t="n"/>
      <c r="M316" s="18">
        <f>IF(OR(K316="",J316="Inscrito",J316="Perdido"),"",TODAY()-K316)</f>
        <v/>
      </c>
    </row>
    <row r="317">
      <c r="A317" s="18">
        <f>IF(C317="","","L"&amp;TEXT(ROW()-1,"000"))</f>
        <v/>
      </c>
      <c r="B317" s="19" t="n"/>
      <c r="K317" s="19" t="n"/>
      <c r="M317" s="18">
        <f>IF(OR(K317="",J317="Inscrito",J317="Perdido"),"",TODAY()-K317)</f>
        <v/>
      </c>
    </row>
    <row r="318">
      <c r="A318" s="18">
        <f>IF(C318="","","L"&amp;TEXT(ROW()-1,"000"))</f>
        <v/>
      </c>
      <c r="B318" s="19" t="n"/>
      <c r="K318" s="19" t="n"/>
      <c r="M318" s="18">
        <f>IF(OR(K318="",J318="Inscrito",J318="Perdido"),"",TODAY()-K318)</f>
        <v/>
      </c>
    </row>
    <row r="319">
      <c r="A319" s="18">
        <f>IF(C319="","","L"&amp;TEXT(ROW()-1,"000"))</f>
        <v/>
      </c>
      <c r="B319" s="19" t="n"/>
      <c r="K319" s="19" t="n"/>
      <c r="M319" s="18">
        <f>IF(OR(K319="",J319="Inscrito",J319="Perdido"),"",TODAY()-K319)</f>
        <v/>
      </c>
    </row>
    <row r="320">
      <c r="A320" s="18">
        <f>IF(C320="","","L"&amp;TEXT(ROW()-1,"000"))</f>
        <v/>
      </c>
      <c r="B320" s="19" t="n"/>
      <c r="K320" s="19" t="n"/>
      <c r="M320" s="18">
        <f>IF(OR(K320="",J320="Inscrito",J320="Perdido"),"",TODAY()-K320)</f>
        <v/>
      </c>
    </row>
    <row r="321">
      <c r="A321" s="18">
        <f>IF(C321="","","L"&amp;TEXT(ROW()-1,"000"))</f>
        <v/>
      </c>
      <c r="B321" s="19" t="n"/>
      <c r="K321" s="19" t="n"/>
      <c r="M321" s="18">
        <f>IF(OR(K321="",J321="Inscrito",J321="Perdido"),"",TODAY()-K321)</f>
        <v/>
      </c>
    </row>
    <row r="322">
      <c r="A322" s="18">
        <f>IF(C322="","","L"&amp;TEXT(ROW()-1,"000"))</f>
        <v/>
      </c>
      <c r="B322" s="19" t="n"/>
      <c r="K322" s="19" t="n"/>
      <c r="M322" s="18">
        <f>IF(OR(K322="",J322="Inscrito",J322="Perdido"),"",TODAY()-K322)</f>
        <v/>
      </c>
    </row>
    <row r="323">
      <c r="A323" s="18">
        <f>IF(C323="","","L"&amp;TEXT(ROW()-1,"000"))</f>
        <v/>
      </c>
      <c r="B323" s="19" t="n"/>
      <c r="K323" s="19" t="n"/>
      <c r="M323" s="18">
        <f>IF(OR(K323="",J323="Inscrito",J323="Perdido"),"",TODAY()-K323)</f>
        <v/>
      </c>
    </row>
    <row r="324">
      <c r="A324" s="18">
        <f>IF(C324="","","L"&amp;TEXT(ROW()-1,"000"))</f>
        <v/>
      </c>
      <c r="B324" s="19" t="n"/>
      <c r="K324" s="19" t="n"/>
      <c r="M324" s="18">
        <f>IF(OR(K324="",J324="Inscrito",J324="Perdido"),"",TODAY()-K324)</f>
        <v/>
      </c>
    </row>
    <row r="325">
      <c r="A325" s="18">
        <f>IF(C325="","","L"&amp;TEXT(ROW()-1,"000"))</f>
        <v/>
      </c>
      <c r="B325" s="19" t="n"/>
      <c r="K325" s="19" t="n"/>
      <c r="M325" s="18">
        <f>IF(OR(K325="",J325="Inscrito",J325="Perdido"),"",TODAY()-K325)</f>
        <v/>
      </c>
    </row>
    <row r="326">
      <c r="A326" s="18">
        <f>IF(C326="","","L"&amp;TEXT(ROW()-1,"000"))</f>
        <v/>
      </c>
      <c r="B326" s="19" t="n"/>
      <c r="K326" s="19" t="n"/>
      <c r="M326" s="18">
        <f>IF(OR(K326="",J326="Inscrito",J326="Perdido"),"",TODAY()-K326)</f>
        <v/>
      </c>
    </row>
    <row r="327">
      <c r="A327" s="18">
        <f>IF(C327="","","L"&amp;TEXT(ROW()-1,"000"))</f>
        <v/>
      </c>
      <c r="B327" s="19" t="n"/>
      <c r="K327" s="19" t="n"/>
      <c r="M327" s="18">
        <f>IF(OR(K327="",J327="Inscrito",J327="Perdido"),"",TODAY()-K327)</f>
        <v/>
      </c>
    </row>
    <row r="328">
      <c r="A328" s="18">
        <f>IF(C328="","","L"&amp;TEXT(ROW()-1,"000"))</f>
        <v/>
      </c>
      <c r="B328" s="19" t="n"/>
      <c r="K328" s="19" t="n"/>
      <c r="M328" s="18">
        <f>IF(OR(K328="",J328="Inscrito",J328="Perdido"),"",TODAY()-K328)</f>
        <v/>
      </c>
    </row>
    <row r="329">
      <c r="A329" s="18">
        <f>IF(C329="","","L"&amp;TEXT(ROW()-1,"000"))</f>
        <v/>
      </c>
      <c r="B329" s="19" t="n"/>
      <c r="K329" s="19" t="n"/>
      <c r="M329" s="18">
        <f>IF(OR(K329="",J329="Inscrito",J329="Perdido"),"",TODAY()-K329)</f>
        <v/>
      </c>
    </row>
    <row r="330">
      <c r="A330" s="18">
        <f>IF(C330="","","L"&amp;TEXT(ROW()-1,"000"))</f>
        <v/>
      </c>
      <c r="B330" s="19" t="n"/>
      <c r="K330" s="19" t="n"/>
      <c r="M330" s="18">
        <f>IF(OR(K330="",J330="Inscrito",J330="Perdido"),"",TODAY()-K330)</f>
        <v/>
      </c>
    </row>
    <row r="331">
      <c r="A331" s="18">
        <f>IF(C331="","","L"&amp;TEXT(ROW()-1,"000"))</f>
        <v/>
      </c>
      <c r="B331" s="19" t="n"/>
      <c r="K331" s="19" t="n"/>
      <c r="M331" s="18">
        <f>IF(OR(K331="",J331="Inscrito",J331="Perdido"),"",TODAY()-K331)</f>
        <v/>
      </c>
    </row>
    <row r="332">
      <c r="A332" s="18">
        <f>IF(C332="","","L"&amp;TEXT(ROW()-1,"000"))</f>
        <v/>
      </c>
      <c r="B332" s="19" t="n"/>
      <c r="K332" s="19" t="n"/>
      <c r="M332" s="18">
        <f>IF(OR(K332="",J332="Inscrito",J332="Perdido"),"",TODAY()-K332)</f>
        <v/>
      </c>
    </row>
    <row r="333">
      <c r="A333" s="18">
        <f>IF(C333="","","L"&amp;TEXT(ROW()-1,"000"))</f>
        <v/>
      </c>
      <c r="B333" s="19" t="n"/>
      <c r="K333" s="19" t="n"/>
      <c r="M333" s="18">
        <f>IF(OR(K333="",J333="Inscrito",J333="Perdido"),"",TODAY()-K333)</f>
        <v/>
      </c>
    </row>
    <row r="334">
      <c r="A334" s="18">
        <f>IF(C334="","","L"&amp;TEXT(ROW()-1,"000"))</f>
        <v/>
      </c>
      <c r="B334" s="19" t="n"/>
      <c r="K334" s="19" t="n"/>
      <c r="M334" s="18">
        <f>IF(OR(K334="",J334="Inscrito",J334="Perdido"),"",TODAY()-K334)</f>
        <v/>
      </c>
    </row>
    <row r="335">
      <c r="A335" s="18">
        <f>IF(C335="","","L"&amp;TEXT(ROW()-1,"000"))</f>
        <v/>
      </c>
      <c r="B335" s="19" t="n"/>
      <c r="K335" s="19" t="n"/>
      <c r="M335" s="18">
        <f>IF(OR(K335="",J335="Inscrito",J335="Perdido"),"",TODAY()-K335)</f>
        <v/>
      </c>
    </row>
    <row r="336">
      <c r="A336" s="18">
        <f>IF(C336="","","L"&amp;TEXT(ROW()-1,"000"))</f>
        <v/>
      </c>
      <c r="B336" s="19" t="n"/>
      <c r="K336" s="19" t="n"/>
      <c r="M336" s="18">
        <f>IF(OR(K336="",J336="Inscrito",J336="Perdido"),"",TODAY()-K336)</f>
        <v/>
      </c>
    </row>
    <row r="337">
      <c r="A337" s="18">
        <f>IF(C337="","","L"&amp;TEXT(ROW()-1,"000"))</f>
        <v/>
      </c>
      <c r="B337" s="19" t="n"/>
      <c r="K337" s="19" t="n"/>
      <c r="M337" s="18">
        <f>IF(OR(K337="",J337="Inscrito",J337="Perdido"),"",TODAY()-K337)</f>
        <v/>
      </c>
    </row>
    <row r="338">
      <c r="A338" s="18">
        <f>IF(C338="","","L"&amp;TEXT(ROW()-1,"000"))</f>
        <v/>
      </c>
      <c r="B338" s="19" t="n"/>
      <c r="K338" s="19" t="n"/>
      <c r="M338" s="18">
        <f>IF(OR(K338="",J338="Inscrito",J338="Perdido"),"",TODAY()-K338)</f>
        <v/>
      </c>
    </row>
    <row r="339">
      <c r="A339" s="18">
        <f>IF(C339="","","L"&amp;TEXT(ROW()-1,"000"))</f>
        <v/>
      </c>
      <c r="B339" s="19" t="n"/>
      <c r="K339" s="19" t="n"/>
      <c r="M339" s="18">
        <f>IF(OR(K339="",J339="Inscrito",J339="Perdido"),"",TODAY()-K339)</f>
        <v/>
      </c>
    </row>
    <row r="340">
      <c r="A340" s="18">
        <f>IF(C340="","","L"&amp;TEXT(ROW()-1,"000"))</f>
        <v/>
      </c>
      <c r="B340" s="19" t="n"/>
      <c r="K340" s="19" t="n"/>
      <c r="M340" s="18">
        <f>IF(OR(K340="",J340="Inscrito",J340="Perdido"),"",TODAY()-K340)</f>
        <v/>
      </c>
    </row>
    <row r="341">
      <c r="A341" s="18">
        <f>IF(C341="","","L"&amp;TEXT(ROW()-1,"000"))</f>
        <v/>
      </c>
      <c r="B341" s="19" t="n"/>
      <c r="K341" s="19" t="n"/>
      <c r="M341" s="18">
        <f>IF(OR(K341="",J341="Inscrito",J341="Perdido"),"",TODAY()-K341)</f>
        <v/>
      </c>
    </row>
    <row r="342">
      <c r="A342" s="18">
        <f>IF(C342="","","L"&amp;TEXT(ROW()-1,"000"))</f>
        <v/>
      </c>
      <c r="B342" s="19" t="n"/>
      <c r="K342" s="19" t="n"/>
      <c r="M342" s="18">
        <f>IF(OR(K342="",J342="Inscrito",J342="Perdido"),"",TODAY()-K342)</f>
        <v/>
      </c>
    </row>
    <row r="343">
      <c r="A343" s="18">
        <f>IF(C343="","","L"&amp;TEXT(ROW()-1,"000"))</f>
        <v/>
      </c>
      <c r="B343" s="19" t="n"/>
      <c r="K343" s="19" t="n"/>
      <c r="M343" s="18">
        <f>IF(OR(K343="",J343="Inscrito",J343="Perdido"),"",TODAY()-K343)</f>
        <v/>
      </c>
    </row>
    <row r="344">
      <c r="A344" s="18">
        <f>IF(C344="","","L"&amp;TEXT(ROW()-1,"000"))</f>
        <v/>
      </c>
      <c r="B344" s="19" t="n"/>
      <c r="K344" s="19" t="n"/>
      <c r="M344" s="18">
        <f>IF(OR(K344="",J344="Inscrito",J344="Perdido"),"",TODAY()-K344)</f>
        <v/>
      </c>
    </row>
    <row r="345">
      <c r="A345" s="18">
        <f>IF(C345="","","L"&amp;TEXT(ROW()-1,"000"))</f>
        <v/>
      </c>
      <c r="B345" s="19" t="n"/>
      <c r="K345" s="19" t="n"/>
      <c r="M345" s="18">
        <f>IF(OR(K345="",J345="Inscrito",J345="Perdido"),"",TODAY()-K345)</f>
        <v/>
      </c>
    </row>
    <row r="346">
      <c r="A346" s="18">
        <f>IF(C346="","","L"&amp;TEXT(ROW()-1,"000"))</f>
        <v/>
      </c>
      <c r="B346" s="19" t="n"/>
      <c r="K346" s="19" t="n"/>
      <c r="M346" s="18">
        <f>IF(OR(K346="",J346="Inscrito",J346="Perdido"),"",TODAY()-K346)</f>
        <v/>
      </c>
    </row>
    <row r="347">
      <c r="A347" s="18">
        <f>IF(C347="","","L"&amp;TEXT(ROW()-1,"000"))</f>
        <v/>
      </c>
      <c r="B347" s="19" t="n"/>
      <c r="K347" s="19" t="n"/>
      <c r="M347" s="18">
        <f>IF(OR(K347="",J347="Inscrito",J347="Perdido"),"",TODAY()-K347)</f>
        <v/>
      </c>
    </row>
    <row r="348">
      <c r="A348" s="18">
        <f>IF(C348="","","L"&amp;TEXT(ROW()-1,"000"))</f>
        <v/>
      </c>
      <c r="B348" s="19" t="n"/>
      <c r="K348" s="19" t="n"/>
      <c r="M348" s="18">
        <f>IF(OR(K348="",J348="Inscrito",J348="Perdido"),"",TODAY()-K348)</f>
        <v/>
      </c>
    </row>
    <row r="349">
      <c r="A349" s="18">
        <f>IF(C349="","","L"&amp;TEXT(ROW()-1,"000"))</f>
        <v/>
      </c>
      <c r="B349" s="19" t="n"/>
      <c r="K349" s="19" t="n"/>
      <c r="M349" s="18">
        <f>IF(OR(K349="",J349="Inscrito",J349="Perdido"),"",TODAY()-K349)</f>
        <v/>
      </c>
    </row>
    <row r="350">
      <c r="A350" s="18">
        <f>IF(C350="","","L"&amp;TEXT(ROW()-1,"000"))</f>
        <v/>
      </c>
      <c r="B350" s="19" t="n"/>
      <c r="K350" s="19" t="n"/>
      <c r="M350" s="18">
        <f>IF(OR(K350="",J350="Inscrito",J350="Perdido"),"",TODAY()-K350)</f>
        <v/>
      </c>
    </row>
    <row r="351">
      <c r="A351" s="18">
        <f>IF(C351="","","L"&amp;TEXT(ROW()-1,"000"))</f>
        <v/>
      </c>
      <c r="B351" s="19" t="n"/>
      <c r="K351" s="19" t="n"/>
      <c r="M351" s="18">
        <f>IF(OR(K351="",J351="Inscrito",J351="Perdido"),"",TODAY()-K351)</f>
        <v/>
      </c>
    </row>
    <row r="352">
      <c r="A352" s="18">
        <f>IF(C352="","","L"&amp;TEXT(ROW()-1,"000"))</f>
        <v/>
      </c>
      <c r="B352" s="19" t="n"/>
      <c r="K352" s="19" t="n"/>
      <c r="M352" s="18">
        <f>IF(OR(K352="",J352="Inscrito",J352="Perdido"),"",TODAY()-K352)</f>
        <v/>
      </c>
    </row>
    <row r="353">
      <c r="A353" s="18">
        <f>IF(C353="","","L"&amp;TEXT(ROW()-1,"000"))</f>
        <v/>
      </c>
      <c r="B353" s="19" t="n"/>
      <c r="K353" s="19" t="n"/>
      <c r="M353" s="18">
        <f>IF(OR(K353="",J353="Inscrito",J353="Perdido"),"",TODAY()-K353)</f>
        <v/>
      </c>
    </row>
    <row r="354">
      <c r="A354" s="18">
        <f>IF(C354="","","L"&amp;TEXT(ROW()-1,"000"))</f>
        <v/>
      </c>
      <c r="B354" s="19" t="n"/>
      <c r="K354" s="19" t="n"/>
      <c r="M354" s="18">
        <f>IF(OR(K354="",J354="Inscrito",J354="Perdido"),"",TODAY()-K354)</f>
        <v/>
      </c>
    </row>
    <row r="355">
      <c r="A355" s="18">
        <f>IF(C355="","","L"&amp;TEXT(ROW()-1,"000"))</f>
        <v/>
      </c>
      <c r="B355" s="19" t="n"/>
      <c r="K355" s="19" t="n"/>
      <c r="M355" s="18">
        <f>IF(OR(K355="",J355="Inscrito",J355="Perdido"),"",TODAY()-K355)</f>
        <v/>
      </c>
    </row>
    <row r="356">
      <c r="A356" s="18">
        <f>IF(C356="","","L"&amp;TEXT(ROW()-1,"000"))</f>
        <v/>
      </c>
      <c r="B356" s="19" t="n"/>
      <c r="K356" s="19" t="n"/>
      <c r="M356" s="18">
        <f>IF(OR(K356="",J356="Inscrito",J356="Perdido"),"",TODAY()-K356)</f>
        <v/>
      </c>
    </row>
    <row r="357">
      <c r="A357" s="18">
        <f>IF(C357="","","L"&amp;TEXT(ROW()-1,"000"))</f>
        <v/>
      </c>
      <c r="B357" s="19" t="n"/>
      <c r="K357" s="19" t="n"/>
      <c r="M357" s="18">
        <f>IF(OR(K357="",J357="Inscrito",J357="Perdido"),"",TODAY()-K357)</f>
        <v/>
      </c>
    </row>
    <row r="358">
      <c r="A358" s="18">
        <f>IF(C358="","","L"&amp;TEXT(ROW()-1,"000"))</f>
        <v/>
      </c>
      <c r="B358" s="19" t="n"/>
      <c r="K358" s="19" t="n"/>
      <c r="M358" s="18">
        <f>IF(OR(K358="",J358="Inscrito",J358="Perdido"),"",TODAY()-K358)</f>
        <v/>
      </c>
    </row>
    <row r="359">
      <c r="A359" s="18">
        <f>IF(C359="","","L"&amp;TEXT(ROW()-1,"000"))</f>
        <v/>
      </c>
      <c r="B359" s="19" t="n"/>
      <c r="K359" s="19" t="n"/>
      <c r="M359" s="18">
        <f>IF(OR(K359="",J359="Inscrito",J359="Perdido"),"",TODAY()-K359)</f>
        <v/>
      </c>
    </row>
    <row r="360">
      <c r="A360" s="18">
        <f>IF(C360="","","L"&amp;TEXT(ROW()-1,"000"))</f>
        <v/>
      </c>
      <c r="B360" s="19" t="n"/>
      <c r="K360" s="19" t="n"/>
      <c r="M360" s="18">
        <f>IF(OR(K360="",J360="Inscrito",J360="Perdido"),"",TODAY()-K360)</f>
        <v/>
      </c>
    </row>
    <row r="361">
      <c r="A361" s="18">
        <f>IF(C361="","","L"&amp;TEXT(ROW()-1,"000"))</f>
        <v/>
      </c>
      <c r="B361" s="19" t="n"/>
      <c r="K361" s="19" t="n"/>
      <c r="M361" s="18">
        <f>IF(OR(K361="",J361="Inscrito",J361="Perdido"),"",TODAY()-K361)</f>
        <v/>
      </c>
    </row>
    <row r="362">
      <c r="A362" s="18">
        <f>IF(C362="","","L"&amp;TEXT(ROW()-1,"000"))</f>
        <v/>
      </c>
      <c r="B362" s="19" t="n"/>
      <c r="K362" s="19" t="n"/>
      <c r="M362" s="18">
        <f>IF(OR(K362="",J362="Inscrito",J362="Perdido"),"",TODAY()-K362)</f>
        <v/>
      </c>
    </row>
    <row r="363">
      <c r="A363" s="18">
        <f>IF(C363="","","L"&amp;TEXT(ROW()-1,"000"))</f>
        <v/>
      </c>
      <c r="B363" s="19" t="n"/>
      <c r="K363" s="19" t="n"/>
      <c r="M363" s="18">
        <f>IF(OR(K363="",J363="Inscrito",J363="Perdido"),"",TODAY()-K363)</f>
        <v/>
      </c>
    </row>
    <row r="364">
      <c r="A364" s="18">
        <f>IF(C364="","","L"&amp;TEXT(ROW()-1,"000"))</f>
        <v/>
      </c>
      <c r="B364" s="19" t="n"/>
      <c r="K364" s="19" t="n"/>
      <c r="M364" s="18">
        <f>IF(OR(K364="",J364="Inscrito",J364="Perdido"),"",TODAY()-K364)</f>
        <v/>
      </c>
    </row>
    <row r="365">
      <c r="A365" s="18">
        <f>IF(C365="","","L"&amp;TEXT(ROW()-1,"000"))</f>
        <v/>
      </c>
      <c r="B365" s="19" t="n"/>
      <c r="K365" s="19" t="n"/>
      <c r="M365" s="18">
        <f>IF(OR(K365="",J365="Inscrito",J365="Perdido"),"",TODAY()-K365)</f>
        <v/>
      </c>
    </row>
    <row r="366">
      <c r="A366" s="18">
        <f>IF(C366="","","L"&amp;TEXT(ROW()-1,"000"))</f>
        <v/>
      </c>
      <c r="B366" s="19" t="n"/>
      <c r="K366" s="19" t="n"/>
      <c r="M366" s="18">
        <f>IF(OR(K366="",J366="Inscrito",J366="Perdido"),"",TODAY()-K366)</f>
        <v/>
      </c>
    </row>
    <row r="367">
      <c r="A367" s="18">
        <f>IF(C367="","","L"&amp;TEXT(ROW()-1,"000"))</f>
        <v/>
      </c>
      <c r="B367" s="19" t="n"/>
      <c r="K367" s="19" t="n"/>
      <c r="M367" s="18">
        <f>IF(OR(K367="",J367="Inscrito",J367="Perdido"),"",TODAY()-K367)</f>
        <v/>
      </c>
    </row>
    <row r="368">
      <c r="A368" s="18">
        <f>IF(C368="","","L"&amp;TEXT(ROW()-1,"000"))</f>
        <v/>
      </c>
      <c r="B368" s="19" t="n"/>
      <c r="K368" s="19" t="n"/>
      <c r="M368" s="18">
        <f>IF(OR(K368="",J368="Inscrito",J368="Perdido"),"",TODAY()-K368)</f>
        <v/>
      </c>
    </row>
    <row r="369">
      <c r="A369" s="18">
        <f>IF(C369="","","L"&amp;TEXT(ROW()-1,"000"))</f>
        <v/>
      </c>
      <c r="B369" s="19" t="n"/>
      <c r="K369" s="19" t="n"/>
      <c r="M369" s="18">
        <f>IF(OR(K369="",J369="Inscrito",J369="Perdido"),"",TODAY()-K369)</f>
        <v/>
      </c>
    </row>
    <row r="370">
      <c r="A370" s="18">
        <f>IF(C370="","","L"&amp;TEXT(ROW()-1,"000"))</f>
        <v/>
      </c>
      <c r="B370" s="19" t="n"/>
      <c r="K370" s="19" t="n"/>
      <c r="M370" s="18">
        <f>IF(OR(K370="",J370="Inscrito",J370="Perdido"),"",TODAY()-K370)</f>
        <v/>
      </c>
    </row>
    <row r="371">
      <c r="A371" s="18">
        <f>IF(C371="","","L"&amp;TEXT(ROW()-1,"000"))</f>
        <v/>
      </c>
      <c r="B371" s="19" t="n"/>
      <c r="K371" s="19" t="n"/>
      <c r="M371" s="18">
        <f>IF(OR(K371="",J371="Inscrito",J371="Perdido"),"",TODAY()-K371)</f>
        <v/>
      </c>
    </row>
    <row r="372">
      <c r="A372" s="18">
        <f>IF(C372="","","L"&amp;TEXT(ROW()-1,"000"))</f>
        <v/>
      </c>
      <c r="B372" s="19" t="n"/>
      <c r="K372" s="19" t="n"/>
      <c r="M372" s="18">
        <f>IF(OR(K372="",J372="Inscrito",J372="Perdido"),"",TODAY()-K372)</f>
        <v/>
      </c>
    </row>
    <row r="373">
      <c r="A373" s="18">
        <f>IF(C373="","","L"&amp;TEXT(ROW()-1,"000"))</f>
        <v/>
      </c>
      <c r="B373" s="19" t="n"/>
      <c r="K373" s="19" t="n"/>
      <c r="M373" s="18">
        <f>IF(OR(K373="",J373="Inscrito",J373="Perdido"),"",TODAY()-K373)</f>
        <v/>
      </c>
    </row>
    <row r="374">
      <c r="A374" s="18">
        <f>IF(C374="","","L"&amp;TEXT(ROW()-1,"000"))</f>
        <v/>
      </c>
      <c r="B374" s="19" t="n"/>
      <c r="K374" s="19" t="n"/>
      <c r="M374" s="18">
        <f>IF(OR(K374="",J374="Inscrito",J374="Perdido"),"",TODAY()-K374)</f>
        <v/>
      </c>
    </row>
    <row r="375">
      <c r="A375" s="18">
        <f>IF(C375="","","L"&amp;TEXT(ROW()-1,"000"))</f>
        <v/>
      </c>
      <c r="B375" s="19" t="n"/>
      <c r="K375" s="19" t="n"/>
      <c r="M375" s="18">
        <f>IF(OR(K375="",J375="Inscrito",J375="Perdido"),"",TODAY()-K375)</f>
        <v/>
      </c>
    </row>
    <row r="376">
      <c r="A376" s="18">
        <f>IF(C376="","","L"&amp;TEXT(ROW()-1,"000"))</f>
        <v/>
      </c>
      <c r="B376" s="19" t="n"/>
      <c r="K376" s="19" t="n"/>
      <c r="M376" s="18">
        <f>IF(OR(K376="",J376="Inscrito",J376="Perdido"),"",TODAY()-K376)</f>
        <v/>
      </c>
    </row>
    <row r="377">
      <c r="A377" s="18">
        <f>IF(C377="","","L"&amp;TEXT(ROW()-1,"000"))</f>
        <v/>
      </c>
      <c r="B377" s="19" t="n"/>
      <c r="K377" s="19" t="n"/>
      <c r="M377" s="18">
        <f>IF(OR(K377="",J377="Inscrito",J377="Perdido"),"",TODAY()-K377)</f>
        <v/>
      </c>
    </row>
    <row r="378">
      <c r="A378" s="18">
        <f>IF(C378="","","L"&amp;TEXT(ROW()-1,"000"))</f>
        <v/>
      </c>
      <c r="B378" s="19" t="n"/>
      <c r="K378" s="19" t="n"/>
      <c r="M378" s="18">
        <f>IF(OR(K378="",J378="Inscrito",J378="Perdido"),"",TODAY()-K378)</f>
        <v/>
      </c>
    </row>
    <row r="379">
      <c r="A379" s="18">
        <f>IF(C379="","","L"&amp;TEXT(ROW()-1,"000"))</f>
        <v/>
      </c>
      <c r="B379" s="19" t="n"/>
      <c r="K379" s="19" t="n"/>
      <c r="M379" s="18">
        <f>IF(OR(K379="",J379="Inscrito",J379="Perdido"),"",TODAY()-K379)</f>
        <v/>
      </c>
    </row>
    <row r="380">
      <c r="A380" s="18">
        <f>IF(C380="","","L"&amp;TEXT(ROW()-1,"000"))</f>
        <v/>
      </c>
      <c r="B380" s="19" t="n"/>
      <c r="K380" s="19" t="n"/>
      <c r="M380" s="18">
        <f>IF(OR(K380="",J380="Inscrito",J380="Perdido"),"",TODAY()-K380)</f>
        <v/>
      </c>
    </row>
    <row r="381">
      <c r="A381" s="18">
        <f>IF(C381="","","L"&amp;TEXT(ROW()-1,"000"))</f>
        <v/>
      </c>
      <c r="B381" s="19" t="n"/>
      <c r="K381" s="19" t="n"/>
      <c r="M381" s="18">
        <f>IF(OR(K381="",J381="Inscrito",J381="Perdido"),"",TODAY()-K381)</f>
        <v/>
      </c>
    </row>
    <row r="382">
      <c r="A382" s="18">
        <f>IF(C382="","","L"&amp;TEXT(ROW()-1,"000"))</f>
        <v/>
      </c>
      <c r="B382" s="19" t="n"/>
      <c r="K382" s="19" t="n"/>
      <c r="M382" s="18">
        <f>IF(OR(K382="",J382="Inscrito",J382="Perdido"),"",TODAY()-K382)</f>
        <v/>
      </c>
    </row>
    <row r="383">
      <c r="A383" s="18">
        <f>IF(C383="","","L"&amp;TEXT(ROW()-1,"000"))</f>
        <v/>
      </c>
      <c r="B383" s="19" t="n"/>
      <c r="K383" s="19" t="n"/>
      <c r="M383" s="18">
        <f>IF(OR(K383="",J383="Inscrito",J383="Perdido"),"",TODAY()-K383)</f>
        <v/>
      </c>
    </row>
    <row r="384">
      <c r="A384" s="18">
        <f>IF(C384="","","L"&amp;TEXT(ROW()-1,"000"))</f>
        <v/>
      </c>
      <c r="B384" s="19" t="n"/>
      <c r="K384" s="19" t="n"/>
      <c r="M384" s="18">
        <f>IF(OR(K384="",J384="Inscrito",J384="Perdido"),"",TODAY()-K384)</f>
        <v/>
      </c>
    </row>
    <row r="385">
      <c r="A385" s="18">
        <f>IF(C385="","","L"&amp;TEXT(ROW()-1,"000"))</f>
        <v/>
      </c>
      <c r="B385" s="19" t="n"/>
      <c r="K385" s="19" t="n"/>
      <c r="M385" s="18">
        <f>IF(OR(K385="",J385="Inscrito",J385="Perdido"),"",TODAY()-K385)</f>
        <v/>
      </c>
    </row>
    <row r="386">
      <c r="A386" s="18">
        <f>IF(C386="","","L"&amp;TEXT(ROW()-1,"000"))</f>
        <v/>
      </c>
      <c r="B386" s="19" t="n"/>
      <c r="K386" s="19" t="n"/>
      <c r="M386" s="18">
        <f>IF(OR(K386="",J386="Inscrito",J386="Perdido"),"",TODAY()-K386)</f>
        <v/>
      </c>
    </row>
    <row r="387">
      <c r="A387" s="18">
        <f>IF(C387="","","L"&amp;TEXT(ROW()-1,"000"))</f>
        <v/>
      </c>
      <c r="B387" s="19" t="n"/>
      <c r="K387" s="19" t="n"/>
      <c r="M387" s="18">
        <f>IF(OR(K387="",J387="Inscrito",J387="Perdido"),"",TODAY()-K387)</f>
        <v/>
      </c>
    </row>
    <row r="388">
      <c r="A388" s="18">
        <f>IF(C388="","","L"&amp;TEXT(ROW()-1,"000"))</f>
        <v/>
      </c>
      <c r="B388" s="19" t="n"/>
      <c r="K388" s="19" t="n"/>
      <c r="M388" s="18">
        <f>IF(OR(K388="",J388="Inscrito",J388="Perdido"),"",TODAY()-K388)</f>
        <v/>
      </c>
    </row>
    <row r="389">
      <c r="A389" s="18">
        <f>IF(C389="","","L"&amp;TEXT(ROW()-1,"000"))</f>
        <v/>
      </c>
      <c r="B389" s="19" t="n"/>
      <c r="K389" s="19" t="n"/>
      <c r="M389" s="18">
        <f>IF(OR(K389="",J389="Inscrito",J389="Perdido"),"",TODAY()-K389)</f>
        <v/>
      </c>
    </row>
    <row r="390">
      <c r="A390" s="18">
        <f>IF(C390="","","L"&amp;TEXT(ROW()-1,"000"))</f>
        <v/>
      </c>
      <c r="B390" s="19" t="n"/>
      <c r="K390" s="19" t="n"/>
      <c r="M390" s="18">
        <f>IF(OR(K390="",J390="Inscrito",J390="Perdido"),"",TODAY()-K390)</f>
        <v/>
      </c>
    </row>
    <row r="391">
      <c r="A391" s="18">
        <f>IF(C391="","","L"&amp;TEXT(ROW()-1,"000"))</f>
        <v/>
      </c>
      <c r="B391" s="19" t="n"/>
      <c r="K391" s="19" t="n"/>
      <c r="M391" s="18">
        <f>IF(OR(K391="",J391="Inscrito",J391="Perdido"),"",TODAY()-K391)</f>
        <v/>
      </c>
    </row>
    <row r="392">
      <c r="A392" s="18">
        <f>IF(C392="","","L"&amp;TEXT(ROW()-1,"000"))</f>
        <v/>
      </c>
      <c r="B392" s="19" t="n"/>
      <c r="K392" s="19" t="n"/>
      <c r="M392" s="18">
        <f>IF(OR(K392="",J392="Inscrito",J392="Perdido"),"",TODAY()-K392)</f>
        <v/>
      </c>
    </row>
    <row r="393">
      <c r="A393" s="18">
        <f>IF(C393="","","L"&amp;TEXT(ROW()-1,"000"))</f>
        <v/>
      </c>
      <c r="B393" s="19" t="n"/>
      <c r="K393" s="19" t="n"/>
      <c r="M393" s="18">
        <f>IF(OR(K393="",J393="Inscrito",J393="Perdido"),"",TODAY()-K393)</f>
        <v/>
      </c>
    </row>
    <row r="394">
      <c r="A394" s="18">
        <f>IF(C394="","","L"&amp;TEXT(ROW()-1,"000"))</f>
        <v/>
      </c>
      <c r="B394" s="19" t="n"/>
      <c r="K394" s="19" t="n"/>
      <c r="M394" s="18">
        <f>IF(OR(K394="",J394="Inscrito",J394="Perdido"),"",TODAY()-K394)</f>
        <v/>
      </c>
    </row>
    <row r="395">
      <c r="A395" s="18">
        <f>IF(C395="","","L"&amp;TEXT(ROW()-1,"000"))</f>
        <v/>
      </c>
      <c r="B395" s="19" t="n"/>
      <c r="K395" s="19" t="n"/>
      <c r="M395" s="18">
        <f>IF(OR(K395="",J395="Inscrito",J395="Perdido"),"",TODAY()-K395)</f>
        <v/>
      </c>
    </row>
    <row r="396">
      <c r="A396" s="18">
        <f>IF(C396="","","L"&amp;TEXT(ROW()-1,"000"))</f>
        <v/>
      </c>
      <c r="B396" s="19" t="n"/>
      <c r="K396" s="19" t="n"/>
      <c r="M396" s="18">
        <f>IF(OR(K396="",J396="Inscrito",J396="Perdido"),"",TODAY()-K396)</f>
        <v/>
      </c>
    </row>
    <row r="397">
      <c r="A397" s="18">
        <f>IF(C397="","","L"&amp;TEXT(ROW()-1,"000"))</f>
        <v/>
      </c>
      <c r="B397" s="19" t="n"/>
      <c r="K397" s="19" t="n"/>
      <c r="M397" s="18">
        <f>IF(OR(K397="",J397="Inscrito",J397="Perdido"),"",TODAY()-K397)</f>
        <v/>
      </c>
    </row>
    <row r="398">
      <c r="A398" s="18">
        <f>IF(C398="","","L"&amp;TEXT(ROW()-1,"000"))</f>
        <v/>
      </c>
      <c r="B398" s="19" t="n"/>
      <c r="K398" s="19" t="n"/>
      <c r="M398" s="18">
        <f>IF(OR(K398="",J398="Inscrito",J398="Perdido"),"",TODAY()-K398)</f>
        <v/>
      </c>
    </row>
    <row r="399">
      <c r="A399" s="18">
        <f>IF(C399="","","L"&amp;TEXT(ROW()-1,"000"))</f>
        <v/>
      </c>
      <c r="B399" s="19" t="n"/>
      <c r="K399" s="19" t="n"/>
      <c r="M399" s="18">
        <f>IF(OR(K399="",J399="Inscrito",J399="Perdido"),"",TODAY()-K399)</f>
        <v/>
      </c>
    </row>
    <row r="400">
      <c r="A400" s="18">
        <f>IF(C400="","","L"&amp;TEXT(ROW()-1,"000"))</f>
        <v/>
      </c>
      <c r="B400" s="19" t="n"/>
      <c r="K400" s="19" t="n"/>
      <c r="M400" s="18">
        <f>IF(OR(K400="",J400="Inscrito",J400="Perdido"),"",TODAY()-K400)</f>
        <v/>
      </c>
    </row>
    <row r="401">
      <c r="A401" s="18">
        <f>IF(C401="","","L"&amp;TEXT(ROW()-1,"000"))</f>
        <v/>
      </c>
      <c r="B401" s="19" t="n"/>
      <c r="K401" s="19" t="n"/>
      <c r="M401" s="18">
        <f>IF(OR(K401="",J401="Inscrito",J401="Perdido"),"",TODAY()-K401)</f>
        <v/>
      </c>
    </row>
    <row r="402">
      <c r="A402" s="18">
        <f>IF(C402="","","L"&amp;TEXT(ROW()-1,"000"))</f>
        <v/>
      </c>
      <c r="B402" s="19" t="n"/>
      <c r="K402" s="19" t="n"/>
      <c r="M402" s="18">
        <f>IF(OR(K402="",J402="Inscrito",J402="Perdido"),"",TODAY()-K402)</f>
        <v/>
      </c>
    </row>
    <row r="403">
      <c r="A403" s="18">
        <f>IF(C403="","","L"&amp;TEXT(ROW()-1,"000"))</f>
        <v/>
      </c>
      <c r="B403" s="19" t="n"/>
      <c r="K403" s="19" t="n"/>
      <c r="M403" s="18">
        <f>IF(OR(K403="",J403="Inscrito",J403="Perdido"),"",TODAY()-K403)</f>
        <v/>
      </c>
    </row>
    <row r="404">
      <c r="A404" s="18">
        <f>IF(C404="","","L"&amp;TEXT(ROW()-1,"000"))</f>
        <v/>
      </c>
      <c r="B404" s="19" t="n"/>
      <c r="K404" s="19" t="n"/>
      <c r="M404" s="18">
        <f>IF(OR(K404="",J404="Inscrito",J404="Perdido"),"",TODAY()-K404)</f>
        <v/>
      </c>
    </row>
    <row r="405">
      <c r="A405" s="18">
        <f>IF(C405="","","L"&amp;TEXT(ROW()-1,"000"))</f>
        <v/>
      </c>
      <c r="B405" s="19" t="n"/>
      <c r="K405" s="19" t="n"/>
      <c r="M405" s="18">
        <f>IF(OR(K405="",J405="Inscrito",J405="Perdido"),"",TODAY()-K405)</f>
        <v/>
      </c>
    </row>
    <row r="406">
      <c r="A406" s="18">
        <f>IF(C406="","","L"&amp;TEXT(ROW()-1,"000"))</f>
        <v/>
      </c>
      <c r="B406" s="19" t="n"/>
      <c r="K406" s="19" t="n"/>
      <c r="M406" s="18">
        <f>IF(OR(K406="",J406="Inscrito",J406="Perdido"),"",TODAY()-K406)</f>
        <v/>
      </c>
    </row>
    <row r="407">
      <c r="A407" s="18">
        <f>IF(C407="","","L"&amp;TEXT(ROW()-1,"000"))</f>
        <v/>
      </c>
      <c r="B407" s="19" t="n"/>
      <c r="K407" s="19" t="n"/>
      <c r="M407" s="18">
        <f>IF(OR(K407="",J407="Inscrito",J407="Perdido"),"",TODAY()-K407)</f>
        <v/>
      </c>
    </row>
    <row r="408">
      <c r="A408" s="18">
        <f>IF(C408="","","L"&amp;TEXT(ROW()-1,"000"))</f>
        <v/>
      </c>
      <c r="B408" s="19" t="n"/>
      <c r="K408" s="19" t="n"/>
      <c r="M408" s="18">
        <f>IF(OR(K408="",J408="Inscrito",J408="Perdido"),"",TODAY()-K408)</f>
        <v/>
      </c>
    </row>
    <row r="409">
      <c r="A409" s="18">
        <f>IF(C409="","","L"&amp;TEXT(ROW()-1,"000"))</f>
        <v/>
      </c>
      <c r="B409" s="19" t="n"/>
      <c r="K409" s="19" t="n"/>
      <c r="M409" s="18">
        <f>IF(OR(K409="",J409="Inscrito",J409="Perdido"),"",TODAY()-K409)</f>
        <v/>
      </c>
    </row>
    <row r="410">
      <c r="A410" s="18">
        <f>IF(C410="","","L"&amp;TEXT(ROW()-1,"000"))</f>
        <v/>
      </c>
      <c r="B410" s="19" t="n"/>
      <c r="K410" s="19" t="n"/>
      <c r="M410" s="18">
        <f>IF(OR(K410="",J410="Inscrito",J410="Perdido"),"",TODAY()-K410)</f>
        <v/>
      </c>
    </row>
    <row r="411">
      <c r="A411" s="18">
        <f>IF(C411="","","L"&amp;TEXT(ROW()-1,"000"))</f>
        <v/>
      </c>
      <c r="B411" s="19" t="n"/>
      <c r="K411" s="19" t="n"/>
      <c r="M411" s="18">
        <f>IF(OR(K411="",J411="Inscrito",J411="Perdido"),"",TODAY()-K411)</f>
        <v/>
      </c>
    </row>
    <row r="412">
      <c r="A412" s="18">
        <f>IF(C412="","","L"&amp;TEXT(ROW()-1,"000"))</f>
        <v/>
      </c>
      <c r="B412" s="19" t="n"/>
      <c r="K412" s="19" t="n"/>
      <c r="M412" s="18">
        <f>IF(OR(K412="",J412="Inscrito",J412="Perdido"),"",TODAY()-K412)</f>
        <v/>
      </c>
    </row>
    <row r="413">
      <c r="A413" s="18">
        <f>IF(C413="","","L"&amp;TEXT(ROW()-1,"000"))</f>
        <v/>
      </c>
      <c r="B413" s="19" t="n"/>
      <c r="K413" s="19" t="n"/>
      <c r="M413" s="18">
        <f>IF(OR(K413="",J413="Inscrito",J413="Perdido"),"",TODAY()-K413)</f>
        <v/>
      </c>
    </row>
    <row r="414">
      <c r="A414" s="18">
        <f>IF(C414="","","L"&amp;TEXT(ROW()-1,"000"))</f>
        <v/>
      </c>
      <c r="B414" s="19" t="n"/>
      <c r="K414" s="19" t="n"/>
      <c r="M414" s="18">
        <f>IF(OR(K414="",J414="Inscrito",J414="Perdido"),"",TODAY()-K414)</f>
        <v/>
      </c>
    </row>
    <row r="415">
      <c r="A415" s="18">
        <f>IF(C415="","","L"&amp;TEXT(ROW()-1,"000"))</f>
        <v/>
      </c>
      <c r="B415" s="19" t="n"/>
      <c r="K415" s="19" t="n"/>
      <c r="M415" s="18">
        <f>IF(OR(K415="",J415="Inscrito",J415="Perdido"),"",TODAY()-K415)</f>
        <v/>
      </c>
    </row>
    <row r="416">
      <c r="A416" s="18">
        <f>IF(C416="","","L"&amp;TEXT(ROW()-1,"000"))</f>
        <v/>
      </c>
      <c r="B416" s="19" t="n"/>
      <c r="K416" s="19" t="n"/>
      <c r="M416" s="18">
        <f>IF(OR(K416="",J416="Inscrito",J416="Perdido"),"",TODAY()-K416)</f>
        <v/>
      </c>
    </row>
    <row r="417">
      <c r="A417" s="18">
        <f>IF(C417="","","L"&amp;TEXT(ROW()-1,"000"))</f>
        <v/>
      </c>
      <c r="B417" s="19" t="n"/>
      <c r="K417" s="19" t="n"/>
      <c r="M417" s="18">
        <f>IF(OR(K417="",J417="Inscrito",J417="Perdido"),"",TODAY()-K417)</f>
        <v/>
      </c>
    </row>
    <row r="418">
      <c r="A418" s="18">
        <f>IF(C418="","","L"&amp;TEXT(ROW()-1,"000"))</f>
        <v/>
      </c>
      <c r="B418" s="19" t="n"/>
      <c r="K418" s="19" t="n"/>
      <c r="M418" s="18">
        <f>IF(OR(K418="",J418="Inscrito",J418="Perdido"),"",TODAY()-K418)</f>
        <v/>
      </c>
    </row>
    <row r="419">
      <c r="A419" s="18">
        <f>IF(C419="","","L"&amp;TEXT(ROW()-1,"000"))</f>
        <v/>
      </c>
      <c r="B419" s="19" t="n"/>
      <c r="K419" s="19" t="n"/>
      <c r="M419" s="18">
        <f>IF(OR(K419="",J419="Inscrito",J419="Perdido"),"",TODAY()-K419)</f>
        <v/>
      </c>
    </row>
    <row r="420">
      <c r="A420" s="18">
        <f>IF(C420="","","L"&amp;TEXT(ROW()-1,"000"))</f>
        <v/>
      </c>
      <c r="B420" s="19" t="n"/>
      <c r="K420" s="19" t="n"/>
      <c r="M420" s="18">
        <f>IF(OR(K420="",J420="Inscrito",J420="Perdido"),"",TODAY()-K420)</f>
        <v/>
      </c>
    </row>
    <row r="421">
      <c r="A421" s="18">
        <f>IF(C421="","","L"&amp;TEXT(ROW()-1,"000"))</f>
        <v/>
      </c>
      <c r="B421" s="19" t="n"/>
      <c r="K421" s="19" t="n"/>
      <c r="M421" s="18">
        <f>IF(OR(K421="",J421="Inscrito",J421="Perdido"),"",TODAY()-K421)</f>
        <v/>
      </c>
    </row>
    <row r="422">
      <c r="A422" s="18">
        <f>IF(C422="","","L"&amp;TEXT(ROW()-1,"000"))</f>
        <v/>
      </c>
      <c r="B422" s="19" t="n"/>
      <c r="K422" s="19" t="n"/>
      <c r="M422" s="18">
        <f>IF(OR(K422="",J422="Inscrito",J422="Perdido"),"",TODAY()-K422)</f>
        <v/>
      </c>
    </row>
    <row r="423">
      <c r="A423" s="18">
        <f>IF(C423="","","L"&amp;TEXT(ROW()-1,"000"))</f>
        <v/>
      </c>
      <c r="B423" s="19" t="n"/>
      <c r="K423" s="19" t="n"/>
      <c r="M423" s="18">
        <f>IF(OR(K423="",J423="Inscrito",J423="Perdido"),"",TODAY()-K423)</f>
        <v/>
      </c>
    </row>
    <row r="424">
      <c r="A424" s="18">
        <f>IF(C424="","","L"&amp;TEXT(ROW()-1,"000"))</f>
        <v/>
      </c>
      <c r="B424" s="19" t="n"/>
      <c r="K424" s="19" t="n"/>
      <c r="M424" s="18">
        <f>IF(OR(K424="",J424="Inscrito",J424="Perdido"),"",TODAY()-K424)</f>
        <v/>
      </c>
    </row>
    <row r="425">
      <c r="A425" s="18">
        <f>IF(C425="","","L"&amp;TEXT(ROW()-1,"000"))</f>
        <v/>
      </c>
      <c r="B425" s="19" t="n"/>
      <c r="K425" s="19" t="n"/>
      <c r="M425" s="18">
        <f>IF(OR(K425="",J425="Inscrito",J425="Perdido"),"",TODAY()-K425)</f>
        <v/>
      </c>
    </row>
    <row r="426">
      <c r="A426" s="18">
        <f>IF(C426="","","L"&amp;TEXT(ROW()-1,"000"))</f>
        <v/>
      </c>
      <c r="B426" s="19" t="n"/>
      <c r="K426" s="19" t="n"/>
      <c r="M426" s="18">
        <f>IF(OR(K426="",J426="Inscrito",J426="Perdido"),"",TODAY()-K426)</f>
        <v/>
      </c>
    </row>
    <row r="427">
      <c r="A427" s="18">
        <f>IF(C427="","","L"&amp;TEXT(ROW()-1,"000"))</f>
        <v/>
      </c>
      <c r="B427" s="19" t="n"/>
      <c r="K427" s="19" t="n"/>
      <c r="M427" s="18">
        <f>IF(OR(K427="",J427="Inscrito",J427="Perdido"),"",TODAY()-K427)</f>
        <v/>
      </c>
    </row>
    <row r="428">
      <c r="A428" s="18">
        <f>IF(C428="","","L"&amp;TEXT(ROW()-1,"000"))</f>
        <v/>
      </c>
      <c r="B428" s="19" t="n"/>
      <c r="K428" s="19" t="n"/>
      <c r="M428" s="18">
        <f>IF(OR(K428="",J428="Inscrito",J428="Perdido"),"",TODAY()-K428)</f>
        <v/>
      </c>
    </row>
    <row r="429">
      <c r="A429" s="18">
        <f>IF(C429="","","L"&amp;TEXT(ROW()-1,"000"))</f>
        <v/>
      </c>
      <c r="B429" s="19" t="n"/>
      <c r="K429" s="19" t="n"/>
      <c r="M429" s="18">
        <f>IF(OR(K429="",J429="Inscrito",J429="Perdido"),"",TODAY()-K429)</f>
        <v/>
      </c>
    </row>
    <row r="430">
      <c r="A430" s="18">
        <f>IF(C430="","","L"&amp;TEXT(ROW()-1,"000"))</f>
        <v/>
      </c>
      <c r="B430" s="19" t="n"/>
      <c r="K430" s="19" t="n"/>
      <c r="M430" s="18">
        <f>IF(OR(K430="",J430="Inscrito",J430="Perdido"),"",TODAY()-K430)</f>
        <v/>
      </c>
    </row>
    <row r="431">
      <c r="A431" s="18">
        <f>IF(C431="","","L"&amp;TEXT(ROW()-1,"000"))</f>
        <v/>
      </c>
      <c r="B431" s="19" t="n"/>
      <c r="K431" s="19" t="n"/>
      <c r="M431" s="18">
        <f>IF(OR(K431="",J431="Inscrito",J431="Perdido"),"",TODAY()-K431)</f>
        <v/>
      </c>
    </row>
    <row r="432">
      <c r="A432" s="18">
        <f>IF(C432="","","L"&amp;TEXT(ROW()-1,"000"))</f>
        <v/>
      </c>
      <c r="B432" s="19" t="n"/>
      <c r="K432" s="19" t="n"/>
      <c r="M432" s="18">
        <f>IF(OR(K432="",J432="Inscrito",J432="Perdido"),"",TODAY()-K432)</f>
        <v/>
      </c>
    </row>
    <row r="433">
      <c r="A433" s="18">
        <f>IF(C433="","","L"&amp;TEXT(ROW()-1,"000"))</f>
        <v/>
      </c>
      <c r="B433" s="19" t="n"/>
      <c r="K433" s="19" t="n"/>
      <c r="M433" s="18">
        <f>IF(OR(K433="",J433="Inscrito",J433="Perdido"),"",TODAY()-K433)</f>
        <v/>
      </c>
    </row>
    <row r="434">
      <c r="A434" s="18">
        <f>IF(C434="","","L"&amp;TEXT(ROW()-1,"000"))</f>
        <v/>
      </c>
      <c r="B434" s="19" t="n"/>
      <c r="K434" s="19" t="n"/>
      <c r="M434" s="18">
        <f>IF(OR(K434="",J434="Inscrito",J434="Perdido"),"",TODAY()-K434)</f>
        <v/>
      </c>
    </row>
    <row r="435">
      <c r="A435" s="18">
        <f>IF(C435="","","L"&amp;TEXT(ROW()-1,"000"))</f>
        <v/>
      </c>
      <c r="B435" s="19" t="n"/>
      <c r="K435" s="19" t="n"/>
      <c r="M435" s="18">
        <f>IF(OR(K435="",J435="Inscrito",J435="Perdido"),"",TODAY()-K435)</f>
        <v/>
      </c>
    </row>
    <row r="436">
      <c r="A436" s="18">
        <f>IF(C436="","","L"&amp;TEXT(ROW()-1,"000"))</f>
        <v/>
      </c>
      <c r="B436" s="19" t="n"/>
      <c r="K436" s="19" t="n"/>
      <c r="M436" s="18">
        <f>IF(OR(K436="",J436="Inscrito",J436="Perdido"),"",TODAY()-K436)</f>
        <v/>
      </c>
    </row>
    <row r="437">
      <c r="A437" s="18">
        <f>IF(C437="","","L"&amp;TEXT(ROW()-1,"000"))</f>
        <v/>
      </c>
      <c r="B437" s="19" t="n"/>
      <c r="K437" s="19" t="n"/>
      <c r="M437" s="18">
        <f>IF(OR(K437="",J437="Inscrito",J437="Perdido"),"",TODAY()-K437)</f>
        <v/>
      </c>
    </row>
    <row r="438">
      <c r="A438" s="18">
        <f>IF(C438="","","L"&amp;TEXT(ROW()-1,"000"))</f>
        <v/>
      </c>
      <c r="B438" s="19" t="n"/>
      <c r="K438" s="19" t="n"/>
      <c r="M438" s="18">
        <f>IF(OR(K438="",J438="Inscrito",J438="Perdido"),"",TODAY()-K438)</f>
        <v/>
      </c>
    </row>
    <row r="439">
      <c r="A439" s="18">
        <f>IF(C439="","","L"&amp;TEXT(ROW()-1,"000"))</f>
        <v/>
      </c>
      <c r="B439" s="19" t="n"/>
      <c r="K439" s="19" t="n"/>
      <c r="M439" s="18">
        <f>IF(OR(K439="",J439="Inscrito",J439="Perdido"),"",TODAY()-K439)</f>
        <v/>
      </c>
    </row>
    <row r="440">
      <c r="A440" s="18">
        <f>IF(C440="","","L"&amp;TEXT(ROW()-1,"000"))</f>
        <v/>
      </c>
      <c r="B440" s="19" t="n"/>
      <c r="K440" s="19" t="n"/>
      <c r="M440" s="18">
        <f>IF(OR(K440="",J440="Inscrito",J440="Perdido"),"",TODAY()-K440)</f>
        <v/>
      </c>
    </row>
    <row r="441">
      <c r="A441" s="18">
        <f>IF(C441="","","L"&amp;TEXT(ROW()-1,"000"))</f>
        <v/>
      </c>
      <c r="B441" s="19" t="n"/>
      <c r="K441" s="19" t="n"/>
      <c r="M441" s="18">
        <f>IF(OR(K441="",J441="Inscrito",J441="Perdido"),"",TODAY()-K441)</f>
        <v/>
      </c>
    </row>
    <row r="442">
      <c r="A442" s="18">
        <f>IF(C442="","","L"&amp;TEXT(ROW()-1,"000"))</f>
        <v/>
      </c>
      <c r="B442" s="19" t="n"/>
      <c r="K442" s="19" t="n"/>
      <c r="M442" s="18">
        <f>IF(OR(K442="",J442="Inscrito",J442="Perdido"),"",TODAY()-K442)</f>
        <v/>
      </c>
    </row>
    <row r="443">
      <c r="A443" s="18">
        <f>IF(C443="","","L"&amp;TEXT(ROW()-1,"000"))</f>
        <v/>
      </c>
      <c r="B443" s="19" t="n"/>
      <c r="K443" s="19" t="n"/>
      <c r="M443" s="18">
        <f>IF(OR(K443="",J443="Inscrito",J443="Perdido"),"",TODAY()-K443)</f>
        <v/>
      </c>
    </row>
    <row r="444">
      <c r="A444" s="18">
        <f>IF(C444="","","L"&amp;TEXT(ROW()-1,"000"))</f>
        <v/>
      </c>
      <c r="B444" s="19" t="n"/>
      <c r="K444" s="19" t="n"/>
      <c r="M444" s="18">
        <f>IF(OR(K444="",J444="Inscrito",J444="Perdido"),"",TODAY()-K444)</f>
        <v/>
      </c>
    </row>
    <row r="445">
      <c r="A445" s="18">
        <f>IF(C445="","","L"&amp;TEXT(ROW()-1,"000"))</f>
        <v/>
      </c>
      <c r="B445" s="19" t="n"/>
      <c r="K445" s="19" t="n"/>
      <c r="M445" s="18">
        <f>IF(OR(K445="",J445="Inscrito",J445="Perdido"),"",TODAY()-K445)</f>
        <v/>
      </c>
    </row>
    <row r="446">
      <c r="A446" s="18">
        <f>IF(C446="","","L"&amp;TEXT(ROW()-1,"000"))</f>
        <v/>
      </c>
      <c r="B446" s="19" t="n"/>
      <c r="K446" s="19" t="n"/>
      <c r="M446" s="18">
        <f>IF(OR(K446="",J446="Inscrito",J446="Perdido"),"",TODAY()-K446)</f>
        <v/>
      </c>
    </row>
    <row r="447">
      <c r="A447" s="18">
        <f>IF(C447="","","L"&amp;TEXT(ROW()-1,"000"))</f>
        <v/>
      </c>
      <c r="B447" s="19" t="n"/>
      <c r="K447" s="19" t="n"/>
      <c r="M447" s="18">
        <f>IF(OR(K447="",J447="Inscrito",J447="Perdido"),"",TODAY()-K447)</f>
        <v/>
      </c>
    </row>
    <row r="448">
      <c r="A448" s="18">
        <f>IF(C448="","","L"&amp;TEXT(ROW()-1,"000"))</f>
        <v/>
      </c>
      <c r="B448" s="19" t="n"/>
      <c r="K448" s="19" t="n"/>
      <c r="M448" s="18">
        <f>IF(OR(K448="",J448="Inscrito",J448="Perdido"),"",TODAY()-K448)</f>
        <v/>
      </c>
    </row>
    <row r="449">
      <c r="A449" s="18">
        <f>IF(C449="","","L"&amp;TEXT(ROW()-1,"000"))</f>
        <v/>
      </c>
      <c r="B449" s="19" t="n"/>
      <c r="K449" s="19" t="n"/>
      <c r="M449" s="18">
        <f>IF(OR(K449="",J449="Inscrito",J449="Perdido"),"",TODAY()-K449)</f>
        <v/>
      </c>
    </row>
    <row r="450">
      <c r="A450" s="18">
        <f>IF(C450="","","L"&amp;TEXT(ROW()-1,"000"))</f>
        <v/>
      </c>
      <c r="B450" s="19" t="n"/>
      <c r="K450" s="19" t="n"/>
      <c r="M450" s="18">
        <f>IF(OR(K450="",J450="Inscrito",J450="Perdido"),"",TODAY()-K450)</f>
        <v/>
      </c>
    </row>
    <row r="451">
      <c r="A451" s="18">
        <f>IF(C451="","","L"&amp;TEXT(ROW()-1,"000"))</f>
        <v/>
      </c>
      <c r="B451" s="19" t="n"/>
      <c r="K451" s="19" t="n"/>
      <c r="M451" s="18">
        <f>IF(OR(K451="",J451="Inscrito",J451="Perdido"),"",TODAY()-K451)</f>
        <v/>
      </c>
    </row>
    <row r="452">
      <c r="A452" s="18">
        <f>IF(C452="","","L"&amp;TEXT(ROW()-1,"000"))</f>
        <v/>
      </c>
      <c r="B452" s="19" t="n"/>
      <c r="K452" s="19" t="n"/>
      <c r="M452" s="18">
        <f>IF(OR(K452="",J452="Inscrito",J452="Perdido"),"",TODAY()-K452)</f>
        <v/>
      </c>
    </row>
    <row r="453">
      <c r="A453" s="18">
        <f>IF(C453="","","L"&amp;TEXT(ROW()-1,"000"))</f>
        <v/>
      </c>
      <c r="B453" s="19" t="n"/>
      <c r="K453" s="19" t="n"/>
      <c r="M453" s="18">
        <f>IF(OR(K453="",J453="Inscrito",J453="Perdido"),"",TODAY()-K453)</f>
        <v/>
      </c>
    </row>
    <row r="454">
      <c r="A454" s="18">
        <f>IF(C454="","","L"&amp;TEXT(ROW()-1,"000"))</f>
        <v/>
      </c>
      <c r="B454" s="19" t="n"/>
      <c r="K454" s="19" t="n"/>
      <c r="M454" s="18">
        <f>IF(OR(K454="",J454="Inscrito",J454="Perdido"),"",TODAY()-K454)</f>
        <v/>
      </c>
    </row>
    <row r="455">
      <c r="A455" s="18">
        <f>IF(C455="","","L"&amp;TEXT(ROW()-1,"000"))</f>
        <v/>
      </c>
      <c r="B455" s="19" t="n"/>
      <c r="K455" s="19" t="n"/>
      <c r="M455" s="18">
        <f>IF(OR(K455="",J455="Inscrito",J455="Perdido"),"",TODAY()-K455)</f>
        <v/>
      </c>
    </row>
    <row r="456">
      <c r="A456" s="18">
        <f>IF(C456="","","L"&amp;TEXT(ROW()-1,"000"))</f>
        <v/>
      </c>
      <c r="B456" s="19" t="n"/>
      <c r="K456" s="19" t="n"/>
      <c r="M456" s="18">
        <f>IF(OR(K456="",J456="Inscrito",J456="Perdido"),"",TODAY()-K456)</f>
        <v/>
      </c>
    </row>
    <row r="457">
      <c r="A457" s="18">
        <f>IF(C457="","","L"&amp;TEXT(ROW()-1,"000"))</f>
        <v/>
      </c>
      <c r="B457" s="19" t="n"/>
      <c r="K457" s="19" t="n"/>
      <c r="M457" s="18">
        <f>IF(OR(K457="",J457="Inscrito",J457="Perdido"),"",TODAY()-K457)</f>
        <v/>
      </c>
    </row>
    <row r="458">
      <c r="A458" s="18">
        <f>IF(C458="","","L"&amp;TEXT(ROW()-1,"000"))</f>
        <v/>
      </c>
      <c r="B458" s="19" t="n"/>
      <c r="K458" s="19" t="n"/>
      <c r="M458" s="18">
        <f>IF(OR(K458="",J458="Inscrito",J458="Perdido"),"",TODAY()-K458)</f>
        <v/>
      </c>
    </row>
    <row r="459">
      <c r="A459" s="18">
        <f>IF(C459="","","L"&amp;TEXT(ROW()-1,"000"))</f>
        <v/>
      </c>
      <c r="B459" s="19" t="n"/>
      <c r="K459" s="19" t="n"/>
      <c r="M459" s="18">
        <f>IF(OR(K459="",J459="Inscrito",J459="Perdido"),"",TODAY()-K459)</f>
        <v/>
      </c>
    </row>
    <row r="460">
      <c r="A460" s="18">
        <f>IF(C460="","","L"&amp;TEXT(ROW()-1,"000"))</f>
        <v/>
      </c>
      <c r="B460" s="19" t="n"/>
      <c r="K460" s="19" t="n"/>
      <c r="M460" s="18">
        <f>IF(OR(K460="",J460="Inscrito",J460="Perdido"),"",TODAY()-K460)</f>
        <v/>
      </c>
    </row>
    <row r="461">
      <c r="A461" s="18">
        <f>IF(C461="","","L"&amp;TEXT(ROW()-1,"000"))</f>
        <v/>
      </c>
      <c r="B461" s="19" t="n"/>
      <c r="K461" s="19" t="n"/>
      <c r="M461" s="18">
        <f>IF(OR(K461="",J461="Inscrito",J461="Perdido"),"",TODAY()-K461)</f>
        <v/>
      </c>
    </row>
    <row r="462">
      <c r="A462" s="18">
        <f>IF(C462="","","L"&amp;TEXT(ROW()-1,"000"))</f>
        <v/>
      </c>
      <c r="B462" s="19" t="n"/>
      <c r="K462" s="19" t="n"/>
      <c r="M462" s="18">
        <f>IF(OR(K462="",J462="Inscrito",J462="Perdido"),"",TODAY()-K462)</f>
        <v/>
      </c>
    </row>
    <row r="463">
      <c r="A463" s="18">
        <f>IF(C463="","","L"&amp;TEXT(ROW()-1,"000"))</f>
        <v/>
      </c>
      <c r="B463" s="19" t="n"/>
      <c r="K463" s="19" t="n"/>
      <c r="M463" s="18">
        <f>IF(OR(K463="",J463="Inscrito",J463="Perdido"),"",TODAY()-K463)</f>
        <v/>
      </c>
    </row>
    <row r="464">
      <c r="A464" s="18">
        <f>IF(C464="","","L"&amp;TEXT(ROW()-1,"000"))</f>
        <v/>
      </c>
      <c r="B464" s="19" t="n"/>
      <c r="K464" s="19" t="n"/>
      <c r="M464" s="18">
        <f>IF(OR(K464="",J464="Inscrito",J464="Perdido"),"",TODAY()-K464)</f>
        <v/>
      </c>
    </row>
    <row r="465">
      <c r="A465" s="18">
        <f>IF(C465="","","L"&amp;TEXT(ROW()-1,"000"))</f>
        <v/>
      </c>
      <c r="B465" s="19" t="n"/>
      <c r="K465" s="19" t="n"/>
      <c r="M465" s="18">
        <f>IF(OR(K465="",J465="Inscrito",J465="Perdido"),"",TODAY()-K465)</f>
        <v/>
      </c>
    </row>
    <row r="466">
      <c r="A466" s="18">
        <f>IF(C466="","","L"&amp;TEXT(ROW()-1,"000"))</f>
        <v/>
      </c>
      <c r="B466" s="19" t="n"/>
      <c r="K466" s="19" t="n"/>
      <c r="M466" s="18">
        <f>IF(OR(K466="",J466="Inscrito",J466="Perdido"),"",TODAY()-K466)</f>
        <v/>
      </c>
    </row>
    <row r="467">
      <c r="A467" s="18">
        <f>IF(C467="","","L"&amp;TEXT(ROW()-1,"000"))</f>
        <v/>
      </c>
      <c r="B467" s="19" t="n"/>
      <c r="K467" s="19" t="n"/>
      <c r="M467" s="18">
        <f>IF(OR(K467="",J467="Inscrito",J467="Perdido"),"",TODAY()-K467)</f>
        <v/>
      </c>
    </row>
    <row r="468">
      <c r="A468" s="18">
        <f>IF(C468="","","L"&amp;TEXT(ROW()-1,"000"))</f>
        <v/>
      </c>
      <c r="B468" s="19" t="n"/>
      <c r="K468" s="19" t="n"/>
      <c r="M468" s="18">
        <f>IF(OR(K468="",J468="Inscrito",J468="Perdido"),"",TODAY()-K468)</f>
        <v/>
      </c>
    </row>
    <row r="469">
      <c r="A469" s="18">
        <f>IF(C469="","","L"&amp;TEXT(ROW()-1,"000"))</f>
        <v/>
      </c>
      <c r="B469" s="19" t="n"/>
      <c r="K469" s="19" t="n"/>
      <c r="M469" s="18">
        <f>IF(OR(K469="",J469="Inscrito",J469="Perdido"),"",TODAY()-K469)</f>
        <v/>
      </c>
    </row>
    <row r="470">
      <c r="A470" s="18">
        <f>IF(C470="","","L"&amp;TEXT(ROW()-1,"000"))</f>
        <v/>
      </c>
      <c r="B470" s="19" t="n"/>
      <c r="K470" s="19" t="n"/>
      <c r="M470" s="18">
        <f>IF(OR(K470="",J470="Inscrito",J470="Perdido"),"",TODAY()-K470)</f>
        <v/>
      </c>
    </row>
    <row r="471">
      <c r="A471" s="18">
        <f>IF(C471="","","L"&amp;TEXT(ROW()-1,"000"))</f>
        <v/>
      </c>
      <c r="B471" s="19" t="n"/>
      <c r="K471" s="19" t="n"/>
      <c r="M471" s="18">
        <f>IF(OR(K471="",J471="Inscrito",J471="Perdido"),"",TODAY()-K471)</f>
        <v/>
      </c>
    </row>
    <row r="472">
      <c r="A472" s="18">
        <f>IF(C472="","","L"&amp;TEXT(ROW()-1,"000"))</f>
        <v/>
      </c>
      <c r="B472" s="19" t="n"/>
      <c r="K472" s="19" t="n"/>
      <c r="M472" s="18">
        <f>IF(OR(K472="",J472="Inscrito",J472="Perdido"),"",TODAY()-K472)</f>
        <v/>
      </c>
    </row>
    <row r="473">
      <c r="A473" s="18">
        <f>IF(C473="","","L"&amp;TEXT(ROW()-1,"000"))</f>
        <v/>
      </c>
      <c r="B473" s="19" t="n"/>
      <c r="K473" s="19" t="n"/>
      <c r="M473" s="18">
        <f>IF(OR(K473="",J473="Inscrito",J473="Perdido"),"",TODAY()-K473)</f>
        <v/>
      </c>
    </row>
    <row r="474">
      <c r="A474" s="18">
        <f>IF(C474="","","L"&amp;TEXT(ROW()-1,"000"))</f>
        <v/>
      </c>
      <c r="B474" s="19" t="n"/>
      <c r="K474" s="19" t="n"/>
      <c r="M474" s="18">
        <f>IF(OR(K474="",J474="Inscrito",J474="Perdido"),"",TODAY()-K474)</f>
        <v/>
      </c>
    </row>
    <row r="475">
      <c r="A475" s="18">
        <f>IF(C475="","","L"&amp;TEXT(ROW()-1,"000"))</f>
        <v/>
      </c>
      <c r="B475" s="19" t="n"/>
      <c r="K475" s="19" t="n"/>
      <c r="M475" s="18">
        <f>IF(OR(K475="",J475="Inscrito",J475="Perdido"),"",TODAY()-K475)</f>
        <v/>
      </c>
    </row>
    <row r="476">
      <c r="A476" s="18">
        <f>IF(C476="","","L"&amp;TEXT(ROW()-1,"000"))</f>
        <v/>
      </c>
      <c r="B476" s="19" t="n"/>
      <c r="K476" s="19" t="n"/>
      <c r="M476" s="18">
        <f>IF(OR(K476="",J476="Inscrito",J476="Perdido"),"",TODAY()-K476)</f>
        <v/>
      </c>
    </row>
    <row r="477">
      <c r="A477" s="18">
        <f>IF(C477="","","L"&amp;TEXT(ROW()-1,"000"))</f>
        <v/>
      </c>
      <c r="B477" s="19" t="n"/>
      <c r="K477" s="19" t="n"/>
      <c r="M477" s="18">
        <f>IF(OR(K477="",J477="Inscrito",J477="Perdido"),"",TODAY()-K477)</f>
        <v/>
      </c>
    </row>
    <row r="478">
      <c r="A478" s="18">
        <f>IF(C478="","","L"&amp;TEXT(ROW()-1,"000"))</f>
        <v/>
      </c>
      <c r="B478" s="19" t="n"/>
      <c r="K478" s="19" t="n"/>
      <c r="M478" s="18">
        <f>IF(OR(K478="",J478="Inscrito",J478="Perdido"),"",TODAY()-K478)</f>
        <v/>
      </c>
    </row>
    <row r="479">
      <c r="A479" s="18">
        <f>IF(C479="","","L"&amp;TEXT(ROW()-1,"000"))</f>
        <v/>
      </c>
      <c r="B479" s="19" t="n"/>
      <c r="K479" s="19" t="n"/>
      <c r="M479" s="18">
        <f>IF(OR(K479="",J479="Inscrito",J479="Perdido"),"",TODAY()-K479)</f>
        <v/>
      </c>
    </row>
    <row r="480">
      <c r="A480" s="18">
        <f>IF(C480="","","L"&amp;TEXT(ROW()-1,"000"))</f>
        <v/>
      </c>
      <c r="B480" s="19" t="n"/>
      <c r="K480" s="19" t="n"/>
      <c r="M480" s="18">
        <f>IF(OR(K480="",J480="Inscrito",J480="Perdido"),"",TODAY()-K480)</f>
        <v/>
      </c>
    </row>
    <row r="481">
      <c r="A481" s="18">
        <f>IF(C481="","","L"&amp;TEXT(ROW()-1,"000"))</f>
        <v/>
      </c>
      <c r="B481" s="19" t="n"/>
      <c r="K481" s="19" t="n"/>
      <c r="M481" s="18">
        <f>IF(OR(K481="",J481="Inscrito",J481="Perdido"),"",TODAY()-K481)</f>
        <v/>
      </c>
    </row>
    <row r="482">
      <c r="A482" s="18">
        <f>IF(C482="","","L"&amp;TEXT(ROW()-1,"000"))</f>
        <v/>
      </c>
      <c r="B482" s="19" t="n"/>
      <c r="K482" s="19" t="n"/>
      <c r="M482" s="18">
        <f>IF(OR(K482="",J482="Inscrito",J482="Perdido"),"",TODAY()-K482)</f>
        <v/>
      </c>
    </row>
    <row r="483">
      <c r="A483" s="18">
        <f>IF(C483="","","L"&amp;TEXT(ROW()-1,"000"))</f>
        <v/>
      </c>
      <c r="B483" s="19" t="n"/>
      <c r="K483" s="19" t="n"/>
      <c r="M483" s="18">
        <f>IF(OR(K483="",J483="Inscrito",J483="Perdido"),"",TODAY()-K483)</f>
        <v/>
      </c>
    </row>
    <row r="484">
      <c r="A484" s="18">
        <f>IF(C484="","","L"&amp;TEXT(ROW()-1,"000"))</f>
        <v/>
      </c>
      <c r="B484" s="19" t="n"/>
      <c r="K484" s="19" t="n"/>
      <c r="M484" s="18">
        <f>IF(OR(K484="",J484="Inscrito",J484="Perdido"),"",TODAY()-K484)</f>
        <v/>
      </c>
    </row>
    <row r="485">
      <c r="A485" s="18">
        <f>IF(C485="","","L"&amp;TEXT(ROW()-1,"000"))</f>
        <v/>
      </c>
      <c r="B485" s="19" t="n"/>
      <c r="K485" s="19" t="n"/>
      <c r="M485" s="18">
        <f>IF(OR(K485="",J485="Inscrito",J485="Perdido"),"",TODAY()-K485)</f>
        <v/>
      </c>
    </row>
    <row r="486">
      <c r="A486" s="18">
        <f>IF(C486="","","L"&amp;TEXT(ROW()-1,"000"))</f>
        <v/>
      </c>
      <c r="B486" s="19" t="n"/>
      <c r="K486" s="19" t="n"/>
      <c r="M486" s="18">
        <f>IF(OR(K486="",J486="Inscrito",J486="Perdido"),"",TODAY()-K486)</f>
        <v/>
      </c>
    </row>
    <row r="487">
      <c r="A487" s="18">
        <f>IF(C487="","","L"&amp;TEXT(ROW()-1,"000"))</f>
        <v/>
      </c>
      <c r="B487" s="19" t="n"/>
      <c r="K487" s="19" t="n"/>
      <c r="M487" s="18">
        <f>IF(OR(K487="",J487="Inscrito",J487="Perdido"),"",TODAY()-K487)</f>
        <v/>
      </c>
    </row>
    <row r="488">
      <c r="A488" s="18">
        <f>IF(C488="","","L"&amp;TEXT(ROW()-1,"000"))</f>
        <v/>
      </c>
      <c r="B488" s="19" t="n"/>
      <c r="K488" s="19" t="n"/>
      <c r="M488" s="18">
        <f>IF(OR(K488="",J488="Inscrito",J488="Perdido"),"",TODAY()-K488)</f>
        <v/>
      </c>
    </row>
    <row r="489">
      <c r="A489" s="18">
        <f>IF(C489="","","L"&amp;TEXT(ROW()-1,"000"))</f>
        <v/>
      </c>
      <c r="B489" s="19" t="n"/>
      <c r="K489" s="19" t="n"/>
      <c r="M489" s="18">
        <f>IF(OR(K489="",J489="Inscrito",J489="Perdido"),"",TODAY()-K489)</f>
        <v/>
      </c>
    </row>
    <row r="490">
      <c r="A490" s="18">
        <f>IF(C490="","","L"&amp;TEXT(ROW()-1,"000"))</f>
        <v/>
      </c>
      <c r="B490" s="19" t="n"/>
      <c r="K490" s="19" t="n"/>
      <c r="M490" s="18">
        <f>IF(OR(K490="",J490="Inscrito",J490="Perdido"),"",TODAY()-K490)</f>
        <v/>
      </c>
    </row>
    <row r="491">
      <c r="A491" s="18">
        <f>IF(C491="","","L"&amp;TEXT(ROW()-1,"000"))</f>
        <v/>
      </c>
      <c r="B491" s="19" t="n"/>
      <c r="K491" s="19" t="n"/>
      <c r="M491" s="18">
        <f>IF(OR(K491="",J491="Inscrito",J491="Perdido"),"",TODAY()-K491)</f>
        <v/>
      </c>
    </row>
    <row r="492">
      <c r="A492" s="18">
        <f>IF(C492="","","L"&amp;TEXT(ROW()-1,"000"))</f>
        <v/>
      </c>
      <c r="B492" s="19" t="n"/>
      <c r="K492" s="19" t="n"/>
      <c r="M492" s="18">
        <f>IF(OR(K492="",J492="Inscrito",J492="Perdido"),"",TODAY()-K492)</f>
        <v/>
      </c>
    </row>
    <row r="493">
      <c r="A493" s="18">
        <f>IF(C493="","","L"&amp;TEXT(ROW()-1,"000"))</f>
        <v/>
      </c>
      <c r="B493" s="19" t="n"/>
      <c r="K493" s="19" t="n"/>
      <c r="M493" s="18">
        <f>IF(OR(K493="",J493="Inscrito",J493="Perdido"),"",TODAY()-K493)</f>
        <v/>
      </c>
    </row>
    <row r="494">
      <c r="A494" s="18">
        <f>IF(C494="","","L"&amp;TEXT(ROW()-1,"000"))</f>
        <v/>
      </c>
      <c r="B494" s="19" t="n"/>
      <c r="K494" s="19" t="n"/>
      <c r="M494" s="18">
        <f>IF(OR(K494="",J494="Inscrito",J494="Perdido"),"",TODAY()-K494)</f>
        <v/>
      </c>
    </row>
    <row r="495">
      <c r="A495" s="18">
        <f>IF(C495="","","L"&amp;TEXT(ROW()-1,"000"))</f>
        <v/>
      </c>
      <c r="B495" s="19" t="n"/>
      <c r="K495" s="19" t="n"/>
      <c r="M495" s="18">
        <f>IF(OR(K495="",J495="Inscrito",J495="Perdido"),"",TODAY()-K495)</f>
        <v/>
      </c>
    </row>
    <row r="496">
      <c r="A496" s="18">
        <f>IF(C496="","","L"&amp;TEXT(ROW()-1,"000"))</f>
        <v/>
      </c>
      <c r="B496" s="19" t="n"/>
      <c r="K496" s="19" t="n"/>
      <c r="M496" s="18">
        <f>IF(OR(K496="",J496="Inscrito",J496="Perdido"),"",TODAY()-K496)</f>
        <v/>
      </c>
    </row>
    <row r="497">
      <c r="A497" s="18">
        <f>IF(C497="","","L"&amp;TEXT(ROW()-1,"000"))</f>
        <v/>
      </c>
      <c r="B497" s="19" t="n"/>
      <c r="K497" s="19" t="n"/>
      <c r="M497" s="18">
        <f>IF(OR(K497="",J497="Inscrito",J497="Perdido"),"",TODAY()-K497)</f>
        <v/>
      </c>
    </row>
    <row r="498">
      <c r="A498" s="18">
        <f>IF(C498="","","L"&amp;TEXT(ROW()-1,"000"))</f>
        <v/>
      </c>
      <c r="B498" s="19" t="n"/>
      <c r="K498" s="19" t="n"/>
      <c r="M498" s="18">
        <f>IF(OR(K498="",J498="Inscrito",J498="Perdido"),"",TODAY()-K498)</f>
        <v/>
      </c>
    </row>
    <row r="499">
      <c r="A499" s="18">
        <f>IF(C499="","","L"&amp;TEXT(ROW()-1,"000"))</f>
        <v/>
      </c>
      <c r="B499" s="19" t="n"/>
      <c r="K499" s="19" t="n"/>
      <c r="M499" s="18">
        <f>IF(OR(K499="",J499="Inscrito",J499="Perdido"),"",TODAY()-K499)</f>
        <v/>
      </c>
    </row>
    <row r="500">
      <c r="A500" s="18">
        <f>IF(C500="","","L"&amp;TEXT(ROW()-1,"000"))</f>
        <v/>
      </c>
      <c r="B500" s="19" t="n"/>
      <c r="K500" s="19" t="n"/>
      <c r="M500" s="18">
        <f>IF(OR(K500="",J500="Inscrito",J500="Perdido"),"",TODAY()-K500)</f>
        <v/>
      </c>
    </row>
    <row r="501">
      <c r="A501" s="18">
        <f>IF(C501="","","L"&amp;TEXT(ROW()-1,"000"))</f>
        <v/>
      </c>
      <c r="B501" s="19" t="n"/>
      <c r="K501" s="19" t="n"/>
      <c r="M501" s="18">
        <f>IF(OR(K501="",J501="Inscrito",J501="Perdido"),"",TODAY()-K501)</f>
        <v/>
      </c>
    </row>
  </sheetData>
  <conditionalFormatting sqref="M2:M501">
    <cfRule type="cellIs" priority="1" operator="greaterThan" dxfId="0">
      <formula>0</formula>
    </cfRule>
  </conditionalFormatting>
  <dataValidations count="5">
    <dataValidation sqref="E2:E501" showDropDown="0" showInputMessage="0" showErrorMessage="0" allowBlank="1" type="list">
      <formula1>Listas!$A$2:$A$4</formula1>
    </dataValidation>
    <dataValidation sqref="F2:F501" showDropDown="0" showInputMessage="0" showErrorMessage="0" allowBlank="1" type="list">
      <formula1>Listas!$B$2:$B$7</formula1>
    </dataValidation>
    <dataValidation sqref="H2:H501" showDropDown="0" showInputMessage="0" showErrorMessage="0" allowBlank="1" type="list">
      <formula1>Listas!$C$2:$C$9</formula1>
    </dataValidation>
    <dataValidation sqref="I2:I501" showDropDown="0" showInputMessage="0" showErrorMessage="0" allowBlank="1" type="list">
      <formula1>Listas!$I$2:$I$10</formula1>
    </dataValidation>
    <dataValidation sqref="J2:J501" showDropDown="0" showInputMessage="0" showErrorMessage="0" allowBlank="1" type="list">
      <formula1>Listas!$D$2:$D$8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A2A6"/>
    <outlinePr summaryBelow="1" summaryRight="1"/>
    <pageSetUpPr/>
  </sheetPr>
  <dimension ref="A1:S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2" customWidth="1" min="4" max="4"/>
    <col width="16" customWidth="1" min="5" max="5"/>
    <col width="22" customWidth="1" min="6" max="6"/>
    <col width="14" customWidth="1" min="7" max="7"/>
    <col width="18" customWidth="1" min="8" max="8"/>
    <col width="12" customWidth="1" min="9" max="9"/>
    <col width="20" customWidth="1" min="10" max="10"/>
    <col width="14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2" customWidth="1" min="19" max="19"/>
  </cols>
  <sheetData>
    <row r="1" ht="32" customHeight="1">
      <c r="A1" s="16" t="inlineStr">
        <is>
          <t>ID</t>
        </is>
      </c>
      <c r="B1" s="17" t="inlineStr">
        <is>
          <t>Nombre</t>
        </is>
      </c>
      <c r="C1" s="17" t="inlineStr">
        <is>
          <t>WhatsApp</t>
        </is>
      </c>
      <c r="D1" s="17" t="inlineStr">
        <is>
          <t>Correo</t>
        </is>
      </c>
      <c r="E1" s="17" t="inlineStr">
        <is>
          <t>Nivel</t>
        </is>
      </c>
      <c r="F1" s="17" t="inlineStr">
        <is>
          <t>Colegio / Universidad actual</t>
        </is>
      </c>
      <c r="G1" s="17" t="inlineStr">
        <is>
          <t>Universidad objetivo</t>
        </is>
      </c>
      <c r="H1" s="17" t="inlineStr">
        <is>
          <t>Carrera</t>
        </is>
      </c>
      <c r="I1" s="17" t="inlineStr">
        <is>
          <t>Fecha examen</t>
        </is>
      </c>
      <c r="J1" s="17" t="inlineStr">
        <is>
          <t>Apoderado</t>
        </is>
      </c>
      <c r="K1" s="17" t="inlineStr">
        <is>
          <t>WhatsApp apoderado</t>
        </is>
      </c>
      <c r="L1" s="17" t="inlineStr">
        <is>
          <t>ID lead</t>
        </is>
      </c>
      <c r="M1" s="17" t="inlineStr">
        <is>
          <t>Estado</t>
        </is>
      </c>
      <c r="N1" s="16" t="inlineStr">
        <is>
          <t>Horas compradas</t>
        </is>
      </c>
      <c r="O1" s="16" t="inlineStr">
        <is>
          <t>Horas dictadas</t>
        </is>
      </c>
      <c r="P1" s="16" t="inlineStr">
        <is>
          <t>Horas restantes</t>
        </is>
      </c>
      <c r="Q1" s="16" t="inlineStr">
        <is>
          <t>Total vendido (S/)</t>
        </is>
      </c>
      <c r="R1" s="16" t="inlineStr">
        <is>
          <t>Total pagado (S/)</t>
        </is>
      </c>
      <c r="S1" s="16" t="inlineStr">
        <is>
          <t>Deuda (S/)</t>
        </is>
      </c>
    </row>
    <row r="2">
      <c r="A2" s="18">
        <f>IF(B2="","","A"&amp;TEXT(ROW()-1,"000"))</f>
        <v/>
      </c>
      <c r="I2" s="19" t="n"/>
      <c r="N2" s="18">
        <f>IF(A2="","",SUMIFS(Ventas!$F:$F,Ventas!$C:$C,A2))</f>
        <v/>
      </c>
      <c r="O2" s="18">
        <f>IF(A2="","",SUMIFS(Clases!$I:$I,Clases!$C:$C,A2,Clases!$J:$J,"&lt;&gt;Reprogramada"))</f>
        <v/>
      </c>
      <c r="P2" s="18">
        <f>IF(A2="","",N2-O2)</f>
        <v/>
      </c>
      <c r="Q2" s="20">
        <f>IF(A2="","",SUMIFS(Ventas!$I:$I,Ventas!$C:$C,A2))</f>
        <v/>
      </c>
      <c r="R2" s="20">
        <f>IF(A2="","",SUMIFS(Pagos!$E:$E,Pagos!$C:$C,A2))</f>
        <v/>
      </c>
      <c r="S2" s="20">
        <f>IF(A2="","",Q2-R2)</f>
        <v/>
      </c>
    </row>
    <row r="3">
      <c r="A3" s="18">
        <f>IF(B3="","","A"&amp;TEXT(ROW()-1,"000"))</f>
        <v/>
      </c>
      <c r="I3" s="19" t="n"/>
      <c r="N3" s="18">
        <f>IF(A3="","",SUMIFS(Ventas!$F:$F,Ventas!$C:$C,A3))</f>
        <v/>
      </c>
      <c r="O3" s="18">
        <f>IF(A3="","",SUMIFS(Clases!$I:$I,Clases!$C:$C,A3,Clases!$J:$J,"&lt;&gt;Reprogramada"))</f>
        <v/>
      </c>
      <c r="P3" s="18">
        <f>IF(A3="","",N3-O3)</f>
        <v/>
      </c>
      <c r="Q3" s="20">
        <f>IF(A3="","",SUMIFS(Ventas!$I:$I,Ventas!$C:$C,A3))</f>
        <v/>
      </c>
      <c r="R3" s="20">
        <f>IF(A3="","",SUMIFS(Pagos!$E:$E,Pagos!$C:$C,A3))</f>
        <v/>
      </c>
      <c r="S3" s="20">
        <f>IF(A3="","",Q3-R3)</f>
        <v/>
      </c>
    </row>
    <row r="4">
      <c r="A4" s="18">
        <f>IF(B4="","","A"&amp;TEXT(ROW()-1,"000"))</f>
        <v/>
      </c>
      <c r="I4" s="19" t="n"/>
      <c r="N4" s="18">
        <f>IF(A4="","",SUMIFS(Ventas!$F:$F,Ventas!$C:$C,A4))</f>
        <v/>
      </c>
      <c r="O4" s="18">
        <f>IF(A4="","",SUMIFS(Clases!$I:$I,Clases!$C:$C,A4,Clases!$J:$J,"&lt;&gt;Reprogramada"))</f>
        <v/>
      </c>
      <c r="P4" s="18">
        <f>IF(A4="","",N4-O4)</f>
        <v/>
      </c>
      <c r="Q4" s="20">
        <f>IF(A4="","",SUMIFS(Ventas!$I:$I,Ventas!$C:$C,A4))</f>
        <v/>
      </c>
      <c r="R4" s="20">
        <f>IF(A4="","",SUMIFS(Pagos!$E:$E,Pagos!$C:$C,A4))</f>
        <v/>
      </c>
      <c r="S4" s="20">
        <f>IF(A4="","",Q4-R4)</f>
        <v/>
      </c>
    </row>
    <row r="5">
      <c r="A5" s="18">
        <f>IF(B5="","","A"&amp;TEXT(ROW()-1,"000"))</f>
        <v/>
      </c>
      <c r="I5" s="19" t="n"/>
      <c r="N5" s="18">
        <f>IF(A5="","",SUMIFS(Ventas!$F:$F,Ventas!$C:$C,A5))</f>
        <v/>
      </c>
      <c r="O5" s="18">
        <f>IF(A5="","",SUMIFS(Clases!$I:$I,Clases!$C:$C,A5,Clases!$J:$J,"&lt;&gt;Reprogramada"))</f>
        <v/>
      </c>
      <c r="P5" s="18">
        <f>IF(A5="","",N5-O5)</f>
        <v/>
      </c>
      <c r="Q5" s="20">
        <f>IF(A5="","",SUMIFS(Ventas!$I:$I,Ventas!$C:$C,A5))</f>
        <v/>
      </c>
      <c r="R5" s="20">
        <f>IF(A5="","",SUMIFS(Pagos!$E:$E,Pagos!$C:$C,A5))</f>
        <v/>
      </c>
      <c r="S5" s="20">
        <f>IF(A5="","",Q5-R5)</f>
        <v/>
      </c>
    </row>
    <row r="6">
      <c r="A6" s="18">
        <f>IF(B6="","","A"&amp;TEXT(ROW()-1,"000"))</f>
        <v/>
      </c>
      <c r="I6" s="19" t="n"/>
      <c r="N6" s="18">
        <f>IF(A6="","",SUMIFS(Ventas!$F:$F,Ventas!$C:$C,A6))</f>
        <v/>
      </c>
      <c r="O6" s="18">
        <f>IF(A6="","",SUMIFS(Clases!$I:$I,Clases!$C:$C,A6,Clases!$J:$J,"&lt;&gt;Reprogramada"))</f>
        <v/>
      </c>
      <c r="P6" s="18">
        <f>IF(A6="","",N6-O6)</f>
        <v/>
      </c>
      <c r="Q6" s="20">
        <f>IF(A6="","",SUMIFS(Ventas!$I:$I,Ventas!$C:$C,A6))</f>
        <v/>
      </c>
      <c r="R6" s="20">
        <f>IF(A6="","",SUMIFS(Pagos!$E:$E,Pagos!$C:$C,A6))</f>
        <v/>
      </c>
      <c r="S6" s="20">
        <f>IF(A6="","",Q6-R6)</f>
        <v/>
      </c>
    </row>
    <row r="7">
      <c r="A7" s="18">
        <f>IF(B7="","","A"&amp;TEXT(ROW()-1,"000"))</f>
        <v/>
      </c>
      <c r="I7" s="19" t="n"/>
      <c r="N7" s="18">
        <f>IF(A7="","",SUMIFS(Ventas!$F:$F,Ventas!$C:$C,A7))</f>
        <v/>
      </c>
      <c r="O7" s="18">
        <f>IF(A7="","",SUMIFS(Clases!$I:$I,Clases!$C:$C,A7,Clases!$J:$J,"&lt;&gt;Reprogramada"))</f>
        <v/>
      </c>
      <c r="P7" s="18">
        <f>IF(A7="","",N7-O7)</f>
        <v/>
      </c>
      <c r="Q7" s="20">
        <f>IF(A7="","",SUMIFS(Ventas!$I:$I,Ventas!$C:$C,A7))</f>
        <v/>
      </c>
      <c r="R7" s="20">
        <f>IF(A7="","",SUMIFS(Pagos!$E:$E,Pagos!$C:$C,A7))</f>
        <v/>
      </c>
      <c r="S7" s="20">
        <f>IF(A7="","",Q7-R7)</f>
        <v/>
      </c>
    </row>
    <row r="8">
      <c r="A8" s="18">
        <f>IF(B8="","","A"&amp;TEXT(ROW()-1,"000"))</f>
        <v/>
      </c>
      <c r="I8" s="19" t="n"/>
      <c r="N8" s="18">
        <f>IF(A8="","",SUMIFS(Ventas!$F:$F,Ventas!$C:$C,A8))</f>
        <v/>
      </c>
      <c r="O8" s="18">
        <f>IF(A8="","",SUMIFS(Clases!$I:$I,Clases!$C:$C,A8,Clases!$J:$J,"&lt;&gt;Reprogramada"))</f>
        <v/>
      </c>
      <c r="P8" s="18">
        <f>IF(A8="","",N8-O8)</f>
        <v/>
      </c>
      <c r="Q8" s="20">
        <f>IF(A8="","",SUMIFS(Ventas!$I:$I,Ventas!$C:$C,A8))</f>
        <v/>
      </c>
      <c r="R8" s="20">
        <f>IF(A8="","",SUMIFS(Pagos!$E:$E,Pagos!$C:$C,A8))</f>
        <v/>
      </c>
      <c r="S8" s="20">
        <f>IF(A8="","",Q8-R8)</f>
        <v/>
      </c>
    </row>
    <row r="9">
      <c r="A9" s="18">
        <f>IF(B9="","","A"&amp;TEXT(ROW()-1,"000"))</f>
        <v/>
      </c>
      <c r="I9" s="19" t="n"/>
      <c r="N9" s="18">
        <f>IF(A9="","",SUMIFS(Ventas!$F:$F,Ventas!$C:$C,A9))</f>
        <v/>
      </c>
      <c r="O9" s="18">
        <f>IF(A9="","",SUMIFS(Clases!$I:$I,Clases!$C:$C,A9,Clases!$J:$J,"&lt;&gt;Reprogramada"))</f>
        <v/>
      </c>
      <c r="P9" s="18">
        <f>IF(A9="","",N9-O9)</f>
        <v/>
      </c>
      <c r="Q9" s="20">
        <f>IF(A9="","",SUMIFS(Ventas!$I:$I,Ventas!$C:$C,A9))</f>
        <v/>
      </c>
      <c r="R9" s="20">
        <f>IF(A9="","",SUMIFS(Pagos!$E:$E,Pagos!$C:$C,A9))</f>
        <v/>
      </c>
      <c r="S9" s="20">
        <f>IF(A9="","",Q9-R9)</f>
        <v/>
      </c>
    </row>
    <row r="10">
      <c r="A10" s="18">
        <f>IF(B10="","","A"&amp;TEXT(ROW()-1,"000"))</f>
        <v/>
      </c>
      <c r="I10" s="19" t="n"/>
      <c r="N10" s="18">
        <f>IF(A10="","",SUMIFS(Ventas!$F:$F,Ventas!$C:$C,A10))</f>
        <v/>
      </c>
      <c r="O10" s="18">
        <f>IF(A10="","",SUMIFS(Clases!$I:$I,Clases!$C:$C,A10,Clases!$J:$J,"&lt;&gt;Reprogramada"))</f>
        <v/>
      </c>
      <c r="P10" s="18">
        <f>IF(A10="","",N10-O10)</f>
        <v/>
      </c>
      <c r="Q10" s="20">
        <f>IF(A10="","",SUMIFS(Ventas!$I:$I,Ventas!$C:$C,A10))</f>
        <v/>
      </c>
      <c r="R10" s="20">
        <f>IF(A10="","",SUMIFS(Pagos!$E:$E,Pagos!$C:$C,A10))</f>
        <v/>
      </c>
      <c r="S10" s="20">
        <f>IF(A10="","",Q10-R10)</f>
        <v/>
      </c>
    </row>
    <row r="11">
      <c r="A11" s="18">
        <f>IF(B11="","","A"&amp;TEXT(ROW()-1,"000"))</f>
        <v/>
      </c>
      <c r="I11" s="19" t="n"/>
      <c r="N11" s="18">
        <f>IF(A11="","",SUMIFS(Ventas!$F:$F,Ventas!$C:$C,A11))</f>
        <v/>
      </c>
      <c r="O11" s="18">
        <f>IF(A11="","",SUMIFS(Clases!$I:$I,Clases!$C:$C,A11,Clases!$J:$J,"&lt;&gt;Reprogramada"))</f>
        <v/>
      </c>
      <c r="P11" s="18">
        <f>IF(A11="","",N11-O11)</f>
        <v/>
      </c>
      <c r="Q11" s="20">
        <f>IF(A11="","",SUMIFS(Ventas!$I:$I,Ventas!$C:$C,A11))</f>
        <v/>
      </c>
      <c r="R11" s="20">
        <f>IF(A11="","",SUMIFS(Pagos!$E:$E,Pagos!$C:$C,A11))</f>
        <v/>
      </c>
      <c r="S11" s="20">
        <f>IF(A11="","",Q11-R11)</f>
        <v/>
      </c>
    </row>
    <row r="12">
      <c r="A12" s="18">
        <f>IF(B12="","","A"&amp;TEXT(ROW()-1,"000"))</f>
        <v/>
      </c>
      <c r="I12" s="19" t="n"/>
      <c r="N12" s="18">
        <f>IF(A12="","",SUMIFS(Ventas!$F:$F,Ventas!$C:$C,A12))</f>
        <v/>
      </c>
      <c r="O12" s="18">
        <f>IF(A12="","",SUMIFS(Clases!$I:$I,Clases!$C:$C,A12,Clases!$J:$J,"&lt;&gt;Reprogramada"))</f>
        <v/>
      </c>
      <c r="P12" s="18">
        <f>IF(A12="","",N12-O12)</f>
        <v/>
      </c>
      <c r="Q12" s="20">
        <f>IF(A12="","",SUMIFS(Ventas!$I:$I,Ventas!$C:$C,A12))</f>
        <v/>
      </c>
      <c r="R12" s="20">
        <f>IF(A12="","",SUMIFS(Pagos!$E:$E,Pagos!$C:$C,A12))</f>
        <v/>
      </c>
      <c r="S12" s="20">
        <f>IF(A12="","",Q12-R12)</f>
        <v/>
      </c>
    </row>
    <row r="13">
      <c r="A13" s="18">
        <f>IF(B13="","","A"&amp;TEXT(ROW()-1,"000"))</f>
        <v/>
      </c>
      <c r="I13" s="19" t="n"/>
      <c r="N13" s="18">
        <f>IF(A13="","",SUMIFS(Ventas!$F:$F,Ventas!$C:$C,A13))</f>
        <v/>
      </c>
      <c r="O13" s="18">
        <f>IF(A13="","",SUMIFS(Clases!$I:$I,Clases!$C:$C,A13,Clases!$J:$J,"&lt;&gt;Reprogramada"))</f>
        <v/>
      </c>
      <c r="P13" s="18">
        <f>IF(A13="","",N13-O13)</f>
        <v/>
      </c>
      <c r="Q13" s="20">
        <f>IF(A13="","",SUMIFS(Ventas!$I:$I,Ventas!$C:$C,A13))</f>
        <v/>
      </c>
      <c r="R13" s="20">
        <f>IF(A13="","",SUMIFS(Pagos!$E:$E,Pagos!$C:$C,A13))</f>
        <v/>
      </c>
      <c r="S13" s="20">
        <f>IF(A13="","",Q13-R13)</f>
        <v/>
      </c>
    </row>
    <row r="14">
      <c r="A14" s="18">
        <f>IF(B14="","","A"&amp;TEXT(ROW()-1,"000"))</f>
        <v/>
      </c>
      <c r="I14" s="19" t="n"/>
      <c r="N14" s="18">
        <f>IF(A14="","",SUMIFS(Ventas!$F:$F,Ventas!$C:$C,A14))</f>
        <v/>
      </c>
      <c r="O14" s="18">
        <f>IF(A14="","",SUMIFS(Clases!$I:$I,Clases!$C:$C,A14,Clases!$J:$J,"&lt;&gt;Reprogramada"))</f>
        <v/>
      </c>
      <c r="P14" s="18">
        <f>IF(A14="","",N14-O14)</f>
        <v/>
      </c>
      <c r="Q14" s="20">
        <f>IF(A14="","",SUMIFS(Ventas!$I:$I,Ventas!$C:$C,A14))</f>
        <v/>
      </c>
      <c r="R14" s="20">
        <f>IF(A14="","",SUMIFS(Pagos!$E:$E,Pagos!$C:$C,A14))</f>
        <v/>
      </c>
      <c r="S14" s="20">
        <f>IF(A14="","",Q14-R14)</f>
        <v/>
      </c>
    </row>
    <row r="15">
      <c r="A15" s="18">
        <f>IF(B15="","","A"&amp;TEXT(ROW()-1,"000"))</f>
        <v/>
      </c>
      <c r="I15" s="19" t="n"/>
      <c r="N15" s="18">
        <f>IF(A15="","",SUMIFS(Ventas!$F:$F,Ventas!$C:$C,A15))</f>
        <v/>
      </c>
      <c r="O15" s="18">
        <f>IF(A15="","",SUMIFS(Clases!$I:$I,Clases!$C:$C,A15,Clases!$J:$J,"&lt;&gt;Reprogramada"))</f>
        <v/>
      </c>
      <c r="P15" s="18">
        <f>IF(A15="","",N15-O15)</f>
        <v/>
      </c>
      <c r="Q15" s="20">
        <f>IF(A15="","",SUMIFS(Ventas!$I:$I,Ventas!$C:$C,A15))</f>
        <v/>
      </c>
      <c r="R15" s="20">
        <f>IF(A15="","",SUMIFS(Pagos!$E:$E,Pagos!$C:$C,A15))</f>
        <v/>
      </c>
      <c r="S15" s="20">
        <f>IF(A15="","",Q15-R15)</f>
        <v/>
      </c>
    </row>
    <row r="16">
      <c r="A16" s="18">
        <f>IF(B16="","","A"&amp;TEXT(ROW()-1,"000"))</f>
        <v/>
      </c>
      <c r="I16" s="19" t="n"/>
      <c r="N16" s="18">
        <f>IF(A16="","",SUMIFS(Ventas!$F:$F,Ventas!$C:$C,A16))</f>
        <v/>
      </c>
      <c r="O16" s="18">
        <f>IF(A16="","",SUMIFS(Clases!$I:$I,Clases!$C:$C,A16,Clases!$J:$J,"&lt;&gt;Reprogramada"))</f>
        <v/>
      </c>
      <c r="P16" s="18">
        <f>IF(A16="","",N16-O16)</f>
        <v/>
      </c>
      <c r="Q16" s="20">
        <f>IF(A16="","",SUMIFS(Ventas!$I:$I,Ventas!$C:$C,A16))</f>
        <v/>
      </c>
      <c r="R16" s="20">
        <f>IF(A16="","",SUMIFS(Pagos!$E:$E,Pagos!$C:$C,A16))</f>
        <v/>
      </c>
      <c r="S16" s="20">
        <f>IF(A16="","",Q16-R16)</f>
        <v/>
      </c>
    </row>
    <row r="17">
      <c r="A17" s="18">
        <f>IF(B17="","","A"&amp;TEXT(ROW()-1,"000"))</f>
        <v/>
      </c>
      <c r="I17" s="19" t="n"/>
      <c r="N17" s="18">
        <f>IF(A17="","",SUMIFS(Ventas!$F:$F,Ventas!$C:$C,A17))</f>
        <v/>
      </c>
      <c r="O17" s="18">
        <f>IF(A17="","",SUMIFS(Clases!$I:$I,Clases!$C:$C,A17,Clases!$J:$J,"&lt;&gt;Reprogramada"))</f>
        <v/>
      </c>
      <c r="P17" s="18">
        <f>IF(A17="","",N17-O17)</f>
        <v/>
      </c>
      <c r="Q17" s="20">
        <f>IF(A17="","",SUMIFS(Ventas!$I:$I,Ventas!$C:$C,A17))</f>
        <v/>
      </c>
      <c r="R17" s="20">
        <f>IF(A17="","",SUMIFS(Pagos!$E:$E,Pagos!$C:$C,A17))</f>
        <v/>
      </c>
      <c r="S17" s="20">
        <f>IF(A17="","",Q17-R17)</f>
        <v/>
      </c>
    </row>
    <row r="18">
      <c r="A18" s="18">
        <f>IF(B18="","","A"&amp;TEXT(ROW()-1,"000"))</f>
        <v/>
      </c>
      <c r="I18" s="19" t="n"/>
      <c r="N18" s="18">
        <f>IF(A18="","",SUMIFS(Ventas!$F:$F,Ventas!$C:$C,A18))</f>
        <v/>
      </c>
      <c r="O18" s="18">
        <f>IF(A18="","",SUMIFS(Clases!$I:$I,Clases!$C:$C,A18,Clases!$J:$J,"&lt;&gt;Reprogramada"))</f>
        <v/>
      </c>
      <c r="P18" s="18">
        <f>IF(A18="","",N18-O18)</f>
        <v/>
      </c>
      <c r="Q18" s="20">
        <f>IF(A18="","",SUMIFS(Ventas!$I:$I,Ventas!$C:$C,A18))</f>
        <v/>
      </c>
      <c r="R18" s="20">
        <f>IF(A18="","",SUMIFS(Pagos!$E:$E,Pagos!$C:$C,A18))</f>
        <v/>
      </c>
      <c r="S18" s="20">
        <f>IF(A18="","",Q18-R18)</f>
        <v/>
      </c>
    </row>
    <row r="19">
      <c r="A19" s="18">
        <f>IF(B19="","","A"&amp;TEXT(ROW()-1,"000"))</f>
        <v/>
      </c>
      <c r="I19" s="19" t="n"/>
      <c r="N19" s="18">
        <f>IF(A19="","",SUMIFS(Ventas!$F:$F,Ventas!$C:$C,A19))</f>
        <v/>
      </c>
      <c r="O19" s="18">
        <f>IF(A19="","",SUMIFS(Clases!$I:$I,Clases!$C:$C,A19,Clases!$J:$J,"&lt;&gt;Reprogramada"))</f>
        <v/>
      </c>
      <c r="P19" s="18">
        <f>IF(A19="","",N19-O19)</f>
        <v/>
      </c>
      <c r="Q19" s="20">
        <f>IF(A19="","",SUMIFS(Ventas!$I:$I,Ventas!$C:$C,A19))</f>
        <v/>
      </c>
      <c r="R19" s="20">
        <f>IF(A19="","",SUMIFS(Pagos!$E:$E,Pagos!$C:$C,A19))</f>
        <v/>
      </c>
      <c r="S19" s="20">
        <f>IF(A19="","",Q19-R19)</f>
        <v/>
      </c>
    </row>
    <row r="20">
      <c r="A20" s="18">
        <f>IF(B20="","","A"&amp;TEXT(ROW()-1,"000"))</f>
        <v/>
      </c>
      <c r="I20" s="19" t="n"/>
      <c r="N20" s="18">
        <f>IF(A20="","",SUMIFS(Ventas!$F:$F,Ventas!$C:$C,A20))</f>
        <v/>
      </c>
      <c r="O20" s="18">
        <f>IF(A20="","",SUMIFS(Clases!$I:$I,Clases!$C:$C,A20,Clases!$J:$J,"&lt;&gt;Reprogramada"))</f>
        <v/>
      </c>
      <c r="P20" s="18">
        <f>IF(A20="","",N20-O20)</f>
        <v/>
      </c>
      <c r="Q20" s="20">
        <f>IF(A20="","",SUMIFS(Ventas!$I:$I,Ventas!$C:$C,A20))</f>
        <v/>
      </c>
      <c r="R20" s="20">
        <f>IF(A20="","",SUMIFS(Pagos!$E:$E,Pagos!$C:$C,A20))</f>
        <v/>
      </c>
      <c r="S20" s="20">
        <f>IF(A20="","",Q20-R20)</f>
        <v/>
      </c>
    </row>
    <row r="21">
      <c r="A21" s="18">
        <f>IF(B21="","","A"&amp;TEXT(ROW()-1,"000"))</f>
        <v/>
      </c>
      <c r="I21" s="19" t="n"/>
      <c r="N21" s="18">
        <f>IF(A21="","",SUMIFS(Ventas!$F:$F,Ventas!$C:$C,A21))</f>
        <v/>
      </c>
      <c r="O21" s="18">
        <f>IF(A21="","",SUMIFS(Clases!$I:$I,Clases!$C:$C,A21,Clases!$J:$J,"&lt;&gt;Reprogramada"))</f>
        <v/>
      </c>
      <c r="P21" s="18">
        <f>IF(A21="","",N21-O21)</f>
        <v/>
      </c>
      <c r="Q21" s="20">
        <f>IF(A21="","",SUMIFS(Ventas!$I:$I,Ventas!$C:$C,A21))</f>
        <v/>
      </c>
      <c r="R21" s="20">
        <f>IF(A21="","",SUMIFS(Pagos!$E:$E,Pagos!$C:$C,A21))</f>
        <v/>
      </c>
      <c r="S21" s="20">
        <f>IF(A21="","",Q21-R21)</f>
        <v/>
      </c>
    </row>
    <row r="22">
      <c r="A22" s="18">
        <f>IF(B22="","","A"&amp;TEXT(ROW()-1,"000"))</f>
        <v/>
      </c>
      <c r="I22" s="19" t="n"/>
      <c r="N22" s="18">
        <f>IF(A22="","",SUMIFS(Ventas!$F:$F,Ventas!$C:$C,A22))</f>
        <v/>
      </c>
      <c r="O22" s="18">
        <f>IF(A22="","",SUMIFS(Clases!$I:$I,Clases!$C:$C,A22,Clases!$J:$J,"&lt;&gt;Reprogramada"))</f>
        <v/>
      </c>
      <c r="P22" s="18">
        <f>IF(A22="","",N22-O22)</f>
        <v/>
      </c>
      <c r="Q22" s="20">
        <f>IF(A22="","",SUMIFS(Ventas!$I:$I,Ventas!$C:$C,A22))</f>
        <v/>
      </c>
      <c r="R22" s="20">
        <f>IF(A22="","",SUMIFS(Pagos!$E:$E,Pagos!$C:$C,A22))</f>
        <v/>
      </c>
      <c r="S22" s="20">
        <f>IF(A22="","",Q22-R22)</f>
        <v/>
      </c>
    </row>
    <row r="23">
      <c r="A23" s="18">
        <f>IF(B23="","","A"&amp;TEXT(ROW()-1,"000"))</f>
        <v/>
      </c>
      <c r="I23" s="19" t="n"/>
      <c r="N23" s="18">
        <f>IF(A23="","",SUMIFS(Ventas!$F:$F,Ventas!$C:$C,A23))</f>
        <v/>
      </c>
      <c r="O23" s="18">
        <f>IF(A23="","",SUMIFS(Clases!$I:$I,Clases!$C:$C,A23,Clases!$J:$J,"&lt;&gt;Reprogramada"))</f>
        <v/>
      </c>
      <c r="P23" s="18">
        <f>IF(A23="","",N23-O23)</f>
        <v/>
      </c>
      <c r="Q23" s="20">
        <f>IF(A23="","",SUMIFS(Ventas!$I:$I,Ventas!$C:$C,A23))</f>
        <v/>
      </c>
      <c r="R23" s="20">
        <f>IF(A23="","",SUMIFS(Pagos!$E:$E,Pagos!$C:$C,A23))</f>
        <v/>
      </c>
      <c r="S23" s="20">
        <f>IF(A23="","",Q23-R23)</f>
        <v/>
      </c>
    </row>
    <row r="24">
      <c r="A24" s="18">
        <f>IF(B24="","","A"&amp;TEXT(ROW()-1,"000"))</f>
        <v/>
      </c>
      <c r="I24" s="19" t="n"/>
      <c r="N24" s="18">
        <f>IF(A24="","",SUMIFS(Ventas!$F:$F,Ventas!$C:$C,A24))</f>
        <v/>
      </c>
      <c r="O24" s="18">
        <f>IF(A24="","",SUMIFS(Clases!$I:$I,Clases!$C:$C,A24,Clases!$J:$J,"&lt;&gt;Reprogramada"))</f>
        <v/>
      </c>
      <c r="P24" s="18">
        <f>IF(A24="","",N24-O24)</f>
        <v/>
      </c>
      <c r="Q24" s="20">
        <f>IF(A24="","",SUMIFS(Ventas!$I:$I,Ventas!$C:$C,A24))</f>
        <v/>
      </c>
      <c r="R24" s="20">
        <f>IF(A24="","",SUMIFS(Pagos!$E:$E,Pagos!$C:$C,A24))</f>
        <v/>
      </c>
      <c r="S24" s="20">
        <f>IF(A24="","",Q24-R24)</f>
        <v/>
      </c>
    </row>
    <row r="25">
      <c r="A25" s="18">
        <f>IF(B25="","","A"&amp;TEXT(ROW()-1,"000"))</f>
        <v/>
      </c>
      <c r="I25" s="19" t="n"/>
      <c r="N25" s="18">
        <f>IF(A25="","",SUMIFS(Ventas!$F:$F,Ventas!$C:$C,A25))</f>
        <v/>
      </c>
      <c r="O25" s="18">
        <f>IF(A25="","",SUMIFS(Clases!$I:$I,Clases!$C:$C,A25,Clases!$J:$J,"&lt;&gt;Reprogramada"))</f>
        <v/>
      </c>
      <c r="P25" s="18">
        <f>IF(A25="","",N25-O25)</f>
        <v/>
      </c>
      <c r="Q25" s="20">
        <f>IF(A25="","",SUMIFS(Ventas!$I:$I,Ventas!$C:$C,A25))</f>
        <v/>
      </c>
      <c r="R25" s="20">
        <f>IF(A25="","",SUMIFS(Pagos!$E:$E,Pagos!$C:$C,A25))</f>
        <v/>
      </c>
      <c r="S25" s="20">
        <f>IF(A25="","",Q25-R25)</f>
        <v/>
      </c>
    </row>
    <row r="26">
      <c r="A26" s="18">
        <f>IF(B26="","","A"&amp;TEXT(ROW()-1,"000"))</f>
        <v/>
      </c>
      <c r="I26" s="19" t="n"/>
      <c r="N26" s="18">
        <f>IF(A26="","",SUMIFS(Ventas!$F:$F,Ventas!$C:$C,A26))</f>
        <v/>
      </c>
      <c r="O26" s="18">
        <f>IF(A26="","",SUMIFS(Clases!$I:$I,Clases!$C:$C,A26,Clases!$J:$J,"&lt;&gt;Reprogramada"))</f>
        <v/>
      </c>
      <c r="P26" s="18">
        <f>IF(A26="","",N26-O26)</f>
        <v/>
      </c>
      <c r="Q26" s="20">
        <f>IF(A26="","",SUMIFS(Ventas!$I:$I,Ventas!$C:$C,A26))</f>
        <v/>
      </c>
      <c r="R26" s="20">
        <f>IF(A26="","",SUMIFS(Pagos!$E:$E,Pagos!$C:$C,A26))</f>
        <v/>
      </c>
      <c r="S26" s="20">
        <f>IF(A26="","",Q26-R26)</f>
        <v/>
      </c>
    </row>
    <row r="27">
      <c r="A27" s="18">
        <f>IF(B27="","","A"&amp;TEXT(ROW()-1,"000"))</f>
        <v/>
      </c>
      <c r="I27" s="19" t="n"/>
      <c r="N27" s="18">
        <f>IF(A27="","",SUMIFS(Ventas!$F:$F,Ventas!$C:$C,A27))</f>
        <v/>
      </c>
      <c r="O27" s="18">
        <f>IF(A27="","",SUMIFS(Clases!$I:$I,Clases!$C:$C,A27,Clases!$J:$J,"&lt;&gt;Reprogramada"))</f>
        <v/>
      </c>
      <c r="P27" s="18">
        <f>IF(A27="","",N27-O27)</f>
        <v/>
      </c>
      <c r="Q27" s="20">
        <f>IF(A27="","",SUMIFS(Ventas!$I:$I,Ventas!$C:$C,A27))</f>
        <v/>
      </c>
      <c r="R27" s="20">
        <f>IF(A27="","",SUMIFS(Pagos!$E:$E,Pagos!$C:$C,A27))</f>
        <v/>
      </c>
      <c r="S27" s="20">
        <f>IF(A27="","",Q27-R27)</f>
        <v/>
      </c>
    </row>
    <row r="28">
      <c r="A28" s="18">
        <f>IF(B28="","","A"&amp;TEXT(ROW()-1,"000"))</f>
        <v/>
      </c>
      <c r="I28" s="19" t="n"/>
      <c r="N28" s="18">
        <f>IF(A28="","",SUMIFS(Ventas!$F:$F,Ventas!$C:$C,A28))</f>
        <v/>
      </c>
      <c r="O28" s="18">
        <f>IF(A28="","",SUMIFS(Clases!$I:$I,Clases!$C:$C,A28,Clases!$J:$J,"&lt;&gt;Reprogramada"))</f>
        <v/>
      </c>
      <c r="P28" s="18">
        <f>IF(A28="","",N28-O28)</f>
        <v/>
      </c>
      <c r="Q28" s="20">
        <f>IF(A28="","",SUMIFS(Ventas!$I:$I,Ventas!$C:$C,A28))</f>
        <v/>
      </c>
      <c r="R28" s="20">
        <f>IF(A28="","",SUMIFS(Pagos!$E:$E,Pagos!$C:$C,A28))</f>
        <v/>
      </c>
      <c r="S28" s="20">
        <f>IF(A28="","",Q28-R28)</f>
        <v/>
      </c>
    </row>
    <row r="29">
      <c r="A29" s="18">
        <f>IF(B29="","","A"&amp;TEXT(ROW()-1,"000"))</f>
        <v/>
      </c>
      <c r="I29" s="19" t="n"/>
      <c r="N29" s="18">
        <f>IF(A29="","",SUMIFS(Ventas!$F:$F,Ventas!$C:$C,A29))</f>
        <v/>
      </c>
      <c r="O29" s="18">
        <f>IF(A29="","",SUMIFS(Clases!$I:$I,Clases!$C:$C,A29,Clases!$J:$J,"&lt;&gt;Reprogramada"))</f>
        <v/>
      </c>
      <c r="P29" s="18">
        <f>IF(A29="","",N29-O29)</f>
        <v/>
      </c>
      <c r="Q29" s="20">
        <f>IF(A29="","",SUMIFS(Ventas!$I:$I,Ventas!$C:$C,A29))</f>
        <v/>
      </c>
      <c r="R29" s="20">
        <f>IF(A29="","",SUMIFS(Pagos!$E:$E,Pagos!$C:$C,A29))</f>
        <v/>
      </c>
      <c r="S29" s="20">
        <f>IF(A29="","",Q29-R29)</f>
        <v/>
      </c>
    </row>
    <row r="30">
      <c r="A30" s="18">
        <f>IF(B30="","","A"&amp;TEXT(ROW()-1,"000"))</f>
        <v/>
      </c>
      <c r="I30" s="19" t="n"/>
      <c r="N30" s="18">
        <f>IF(A30="","",SUMIFS(Ventas!$F:$F,Ventas!$C:$C,A30))</f>
        <v/>
      </c>
      <c r="O30" s="18">
        <f>IF(A30="","",SUMIFS(Clases!$I:$I,Clases!$C:$C,A30,Clases!$J:$J,"&lt;&gt;Reprogramada"))</f>
        <v/>
      </c>
      <c r="P30" s="18">
        <f>IF(A30="","",N30-O30)</f>
        <v/>
      </c>
      <c r="Q30" s="20">
        <f>IF(A30="","",SUMIFS(Ventas!$I:$I,Ventas!$C:$C,A30))</f>
        <v/>
      </c>
      <c r="R30" s="20">
        <f>IF(A30="","",SUMIFS(Pagos!$E:$E,Pagos!$C:$C,A30))</f>
        <v/>
      </c>
      <c r="S30" s="20">
        <f>IF(A30="","",Q30-R30)</f>
        <v/>
      </c>
    </row>
    <row r="31">
      <c r="A31" s="18">
        <f>IF(B31="","","A"&amp;TEXT(ROW()-1,"000"))</f>
        <v/>
      </c>
      <c r="I31" s="19" t="n"/>
      <c r="N31" s="18">
        <f>IF(A31="","",SUMIFS(Ventas!$F:$F,Ventas!$C:$C,A31))</f>
        <v/>
      </c>
      <c r="O31" s="18">
        <f>IF(A31="","",SUMIFS(Clases!$I:$I,Clases!$C:$C,A31,Clases!$J:$J,"&lt;&gt;Reprogramada"))</f>
        <v/>
      </c>
      <c r="P31" s="18">
        <f>IF(A31="","",N31-O31)</f>
        <v/>
      </c>
      <c r="Q31" s="20">
        <f>IF(A31="","",SUMIFS(Ventas!$I:$I,Ventas!$C:$C,A31))</f>
        <v/>
      </c>
      <c r="R31" s="20">
        <f>IF(A31="","",SUMIFS(Pagos!$E:$E,Pagos!$C:$C,A31))</f>
        <v/>
      </c>
      <c r="S31" s="20">
        <f>IF(A31="","",Q31-R31)</f>
        <v/>
      </c>
    </row>
    <row r="32">
      <c r="A32" s="18">
        <f>IF(B32="","","A"&amp;TEXT(ROW()-1,"000"))</f>
        <v/>
      </c>
      <c r="I32" s="19" t="n"/>
      <c r="N32" s="18">
        <f>IF(A32="","",SUMIFS(Ventas!$F:$F,Ventas!$C:$C,A32))</f>
        <v/>
      </c>
      <c r="O32" s="18">
        <f>IF(A32="","",SUMIFS(Clases!$I:$I,Clases!$C:$C,A32,Clases!$J:$J,"&lt;&gt;Reprogramada"))</f>
        <v/>
      </c>
      <c r="P32" s="18">
        <f>IF(A32="","",N32-O32)</f>
        <v/>
      </c>
      <c r="Q32" s="20">
        <f>IF(A32="","",SUMIFS(Ventas!$I:$I,Ventas!$C:$C,A32))</f>
        <v/>
      </c>
      <c r="R32" s="20">
        <f>IF(A32="","",SUMIFS(Pagos!$E:$E,Pagos!$C:$C,A32))</f>
        <v/>
      </c>
      <c r="S32" s="20">
        <f>IF(A32="","",Q32-R32)</f>
        <v/>
      </c>
    </row>
    <row r="33">
      <c r="A33" s="18">
        <f>IF(B33="","","A"&amp;TEXT(ROW()-1,"000"))</f>
        <v/>
      </c>
      <c r="I33" s="19" t="n"/>
      <c r="N33" s="18">
        <f>IF(A33="","",SUMIFS(Ventas!$F:$F,Ventas!$C:$C,A33))</f>
        <v/>
      </c>
      <c r="O33" s="18">
        <f>IF(A33="","",SUMIFS(Clases!$I:$I,Clases!$C:$C,A33,Clases!$J:$J,"&lt;&gt;Reprogramada"))</f>
        <v/>
      </c>
      <c r="P33" s="18">
        <f>IF(A33="","",N33-O33)</f>
        <v/>
      </c>
      <c r="Q33" s="20">
        <f>IF(A33="","",SUMIFS(Ventas!$I:$I,Ventas!$C:$C,A33))</f>
        <v/>
      </c>
      <c r="R33" s="20">
        <f>IF(A33="","",SUMIFS(Pagos!$E:$E,Pagos!$C:$C,A33))</f>
        <v/>
      </c>
      <c r="S33" s="20">
        <f>IF(A33="","",Q33-R33)</f>
        <v/>
      </c>
    </row>
    <row r="34">
      <c r="A34" s="18">
        <f>IF(B34="","","A"&amp;TEXT(ROW()-1,"000"))</f>
        <v/>
      </c>
      <c r="I34" s="19" t="n"/>
      <c r="N34" s="18">
        <f>IF(A34="","",SUMIFS(Ventas!$F:$F,Ventas!$C:$C,A34))</f>
        <v/>
      </c>
      <c r="O34" s="18">
        <f>IF(A34="","",SUMIFS(Clases!$I:$I,Clases!$C:$C,A34,Clases!$J:$J,"&lt;&gt;Reprogramada"))</f>
        <v/>
      </c>
      <c r="P34" s="18">
        <f>IF(A34="","",N34-O34)</f>
        <v/>
      </c>
      <c r="Q34" s="20">
        <f>IF(A34="","",SUMIFS(Ventas!$I:$I,Ventas!$C:$C,A34))</f>
        <v/>
      </c>
      <c r="R34" s="20">
        <f>IF(A34="","",SUMIFS(Pagos!$E:$E,Pagos!$C:$C,A34))</f>
        <v/>
      </c>
      <c r="S34" s="20">
        <f>IF(A34="","",Q34-R34)</f>
        <v/>
      </c>
    </row>
    <row r="35">
      <c r="A35" s="18">
        <f>IF(B35="","","A"&amp;TEXT(ROW()-1,"000"))</f>
        <v/>
      </c>
      <c r="I35" s="19" t="n"/>
      <c r="N35" s="18">
        <f>IF(A35="","",SUMIFS(Ventas!$F:$F,Ventas!$C:$C,A35))</f>
        <v/>
      </c>
      <c r="O35" s="18">
        <f>IF(A35="","",SUMIFS(Clases!$I:$I,Clases!$C:$C,A35,Clases!$J:$J,"&lt;&gt;Reprogramada"))</f>
        <v/>
      </c>
      <c r="P35" s="18">
        <f>IF(A35="","",N35-O35)</f>
        <v/>
      </c>
      <c r="Q35" s="20">
        <f>IF(A35="","",SUMIFS(Ventas!$I:$I,Ventas!$C:$C,A35))</f>
        <v/>
      </c>
      <c r="R35" s="20">
        <f>IF(A35="","",SUMIFS(Pagos!$E:$E,Pagos!$C:$C,A35))</f>
        <v/>
      </c>
      <c r="S35" s="20">
        <f>IF(A35="","",Q35-R35)</f>
        <v/>
      </c>
    </row>
    <row r="36">
      <c r="A36" s="18">
        <f>IF(B36="","","A"&amp;TEXT(ROW()-1,"000"))</f>
        <v/>
      </c>
      <c r="I36" s="19" t="n"/>
      <c r="N36" s="18">
        <f>IF(A36="","",SUMIFS(Ventas!$F:$F,Ventas!$C:$C,A36))</f>
        <v/>
      </c>
      <c r="O36" s="18">
        <f>IF(A36="","",SUMIFS(Clases!$I:$I,Clases!$C:$C,A36,Clases!$J:$J,"&lt;&gt;Reprogramada"))</f>
        <v/>
      </c>
      <c r="P36" s="18">
        <f>IF(A36="","",N36-O36)</f>
        <v/>
      </c>
      <c r="Q36" s="20">
        <f>IF(A36="","",SUMIFS(Ventas!$I:$I,Ventas!$C:$C,A36))</f>
        <v/>
      </c>
      <c r="R36" s="20">
        <f>IF(A36="","",SUMIFS(Pagos!$E:$E,Pagos!$C:$C,A36))</f>
        <v/>
      </c>
      <c r="S36" s="20">
        <f>IF(A36="","",Q36-R36)</f>
        <v/>
      </c>
    </row>
    <row r="37">
      <c r="A37" s="18">
        <f>IF(B37="","","A"&amp;TEXT(ROW()-1,"000"))</f>
        <v/>
      </c>
      <c r="I37" s="19" t="n"/>
      <c r="N37" s="18">
        <f>IF(A37="","",SUMIFS(Ventas!$F:$F,Ventas!$C:$C,A37))</f>
        <v/>
      </c>
      <c r="O37" s="18">
        <f>IF(A37="","",SUMIFS(Clases!$I:$I,Clases!$C:$C,A37,Clases!$J:$J,"&lt;&gt;Reprogramada"))</f>
        <v/>
      </c>
      <c r="P37" s="18">
        <f>IF(A37="","",N37-O37)</f>
        <v/>
      </c>
      <c r="Q37" s="20">
        <f>IF(A37="","",SUMIFS(Ventas!$I:$I,Ventas!$C:$C,A37))</f>
        <v/>
      </c>
      <c r="R37" s="20">
        <f>IF(A37="","",SUMIFS(Pagos!$E:$E,Pagos!$C:$C,A37))</f>
        <v/>
      </c>
      <c r="S37" s="20">
        <f>IF(A37="","",Q37-R37)</f>
        <v/>
      </c>
    </row>
    <row r="38">
      <c r="A38" s="18">
        <f>IF(B38="","","A"&amp;TEXT(ROW()-1,"000"))</f>
        <v/>
      </c>
      <c r="I38" s="19" t="n"/>
      <c r="N38" s="18">
        <f>IF(A38="","",SUMIFS(Ventas!$F:$F,Ventas!$C:$C,A38))</f>
        <v/>
      </c>
      <c r="O38" s="18">
        <f>IF(A38="","",SUMIFS(Clases!$I:$I,Clases!$C:$C,A38,Clases!$J:$J,"&lt;&gt;Reprogramada"))</f>
        <v/>
      </c>
      <c r="P38" s="18">
        <f>IF(A38="","",N38-O38)</f>
        <v/>
      </c>
      <c r="Q38" s="20">
        <f>IF(A38="","",SUMIFS(Ventas!$I:$I,Ventas!$C:$C,A38))</f>
        <v/>
      </c>
      <c r="R38" s="20">
        <f>IF(A38="","",SUMIFS(Pagos!$E:$E,Pagos!$C:$C,A38))</f>
        <v/>
      </c>
      <c r="S38" s="20">
        <f>IF(A38="","",Q38-R38)</f>
        <v/>
      </c>
    </row>
    <row r="39">
      <c r="A39" s="18">
        <f>IF(B39="","","A"&amp;TEXT(ROW()-1,"000"))</f>
        <v/>
      </c>
      <c r="I39" s="19" t="n"/>
      <c r="N39" s="18">
        <f>IF(A39="","",SUMIFS(Ventas!$F:$F,Ventas!$C:$C,A39))</f>
        <v/>
      </c>
      <c r="O39" s="18">
        <f>IF(A39="","",SUMIFS(Clases!$I:$I,Clases!$C:$C,A39,Clases!$J:$J,"&lt;&gt;Reprogramada"))</f>
        <v/>
      </c>
      <c r="P39" s="18">
        <f>IF(A39="","",N39-O39)</f>
        <v/>
      </c>
      <c r="Q39" s="20">
        <f>IF(A39="","",SUMIFS(Ventas!$I:$I,Ventas!$C:$C,A39))</f>
        <v/>
      </c>
      <c r="R39" s="20">
        <f>IF(A39="","",SUMIFS(Pagos!$E:$E,Pagos!$C:$C,A39))</f>
        <v/>
      </c>
      <c r="S39" s="20">
        <f>IF(A39="","",Q39-R39)</f>
        <v/>
      </c>
    </row>
    <row r="40">
      <c r="A40" s="18">
        <f>IF(B40="","","A"&amp;TEXT(ROW()-1,"000"))</f>
        <v/>
      </c>
      <c r="I40" s="19" t="n"/>
      <c r="N40" s="18">
        <f>IF(A40="","",SUMIFS(Ventas!$F:$F,Ventas!$C:$C,A40))</f>
        <v/>
      </c>
      <c r="O40" s="18">
        <f>IF(A40="","",SUMIFS(Clases!$I:$I,Clases!$C:$C,A40,Clases!$J:$J,"&lt;&gt;Reprogramada"))</f>
        <v/>
      </c>
      <c r="P40" s="18">
        <f>IF(A40="","",N40-O40)</f>
        <v/>
      </c>
      <c r="Q40" s="20">
        <f>IF(A40="","",SUMIFS(Ventas!$I:$I,Ventas!$C:$C,A40))</f>
        <v/>
      </c>
      <c r="R40" s="20">
        <f>IF(A40="","",SUMIFS(Pagos!$E:$E,Pagos!$C:$C,A40))</f>
        <v/>
      </c>
      <c r="S40" s="20">
        <f>IF(A40="","",Q40-R40)</f>
        <v/>
      </c>
    </row>
    <row r="41">
      <c r="A41" s="18">
        <f>IF(B41="","","A"&amp;TEXT(ROW()-1,"000"))</f>
        <v/>
      </c>
      <c r="I41" s="19" t="n"/>
      <c r="N41" s="18">
        <f>IF(A41="","",SUMIFS(Ventas!$F:$F,Ventas!$C:$C,A41))</f>
        <v/>
      </c>
      <c r="O41" s="18">
        <f>IF(A41="","",SUMIFS(Clases!$I:$I,Clases!$C:$C,A41,Clases!$J:$J,"&lt;&gt;Reprogramada"))</f>
        <v/>
      </c>
      <c r="P41" s="18">
        <f>IF(A41="","",N41-O41)</f>
        <v/>
      </c>
      <c r="Q41" s="20">
        <f>IF(A41="","",SUMIFS(Ventas!$I:$I,Ventas!$C:$C,A41))</f>
        <v/>
      </c>
      <c r="R41" s="20">
        <f>IF(A41="","",SUMIFS(Pagos!$E:$E,Pagos!$C:$C,A41))</f>
        <v/>
      </c>
      <c r="S41" s="20">
        <f>IF(A41="","",Q41-R41)</f>
        <v/>
      </c>
    </row>
    <row r="42">
      <c r="A42" s="18">
        <f>IF(B42="","","A"&amp;TEXT(ROW()-1,"000"))</f>
        <v/>
      </c>
      <c r="I42" s="19" t="n"/>
      <c r="N42" s="18">
        <f>IF(A42="","",SUMIFS(Ventas!$F:$F,Ventas!$C:$C,A42))</f>
        <v/>
      </c>
      <c r="O42" s="18">
        <f>IF(A42="","",SUMIFS(Clases!$I:$I,Clases!$C:$C,A42,Clases!$J:$J,"&lt;&gt;Reprogramada"))</f>
        <v/>
      </c>
      <c r="P42" s="18">
        <f>IF(A42="","",N42-O42)</f>
        <v/>
      </c>
      <c r="Q42" s="20">
        <f>IF(A42="","",SUMIFS(Ventas!$I:$I,Ventas!$C:$C,A42))</f>
        <v/>
      </c>
      <c r="R42" s="20">
        <f>IF(A42="","",SUMIFS(Pagos!$E:$E,Pagos!$C:$C,A42))</f>
        <v/>
      </c>
      <c r="S42" s="20">
        <f>IF(A42="","",Q42-R42)</f>
        <v/>
      </c>
    </row>
    <row r="43">
      <c r="A43" s="18">
        <f>IF(B43="","","A"&amp;TEXT(ROW()-1,"000"))</f>
        <v/>
      </c>
      <c r="I43" s="19" t="n"/>
      <c r="N43" s="18">
        <f>IF(A43="","",SUMIFS(Ventas!$F:$F,Ventas!$C:$C,A43))</f>
        <v/>
      </c>
      <c r="O43" s="18">
        <f>IF(A43="","",SUMIFS(Clases!$I:$I,Clases!$C:$C,A43,Clases!$J:$J,"&lt;&gt;Reprogramada"))</f>
        <v/>
      </c>
      <c r="P43" s="18">
        <f>IF(A43="","",N43-O43)</f>
        <v/>
      </c>
      <c r="Q43" s="20">
        <f>IF(A43="","",SUMIFS(Ventas!$I:$I,Ventas!$C:$C,A43))</f>
        <v/>
      </c>
      <c r="R43" s="20">
        <f>IF(A43="","",SUMIFS(Pagos!$E:$E,Pagos!$C:$C,A43))</f>
        <v/>
      </c>
      <c r="S43" s="20">
        <f>IF(A43="","",Q43-R43)</f>
        <v/>
      </c>
    </row>
    <row r="44">
      <c r="A44" s="18">
        <f>IF(B44="","","A"&amp;TEXT(ROW()-1,"000"))</f>
        <v/>
      </c>
      <c r="I44" s="19" t="n"/>
      <c r="N44" s="18">
        <f>IF(A44="","",SUMIFS(Ventas!$F:$F,Ventas!$C:$C,A44))</f>
        <v/>
      </c>
      <c r="O44" s="18">
        <f>IF(A44="","",SUMIFS(Clases!$I:$I,Clases!$C:$C,A44,Clases!$J:$J,"&lt;&gt;Reprogramada"))</f>
        <v/>
      </c>
      <c r="P44" s="18">
        <f>IF(A44="","",N44-O44)</f>
        <v/>
      </c>
      <c r="Q44" s="20">
        <f>IF(A44="","",SUMIFS(Ventas!$I:$I,Ventas!$C:$C,A44))</f>
        <v/>
      </c>
      <c r="R44" s="20">
        <f>IF(A44="","",SUMIFS(Pagos!$E:$E,Pagos!$C:$C,A44))</f>
        <v/>
      </c>
      <c r="S44" s="20">
        <f>IF(A44="","",Q44-R44)</f>
        <v/>
      </c>
    </row>
    <row r="45">
      <c r="A45" s="18">
        <f>IF(B45="","","A"&amp;TEXT(ROW()-1,"000"))</f>
        <v/>
      </c>
      <c r="I45" s="19" t="n"/>
      <c r="N45" s="18">
        <f>IF(A45="","",SUMIFS(Ventas!$F:$F,Ventas!$C:$C,A45))</f>
        <v/>
      </c>
      <c r="O45" s="18">
        <f>IF(A45="","",SUMIFS(Clases!$I:$I,Clases!$C:$C,A45,Clases!$J:$J,"&lt;&gt;Reprogramada"))</f>
        <v/>
      </c>
      <c r="P45" s="18">
        <f>IF(A45="","",N45-O45)</f>
        <v/>
      </c>
      <c r="Q45" s="20">
        <f>IF(A45="","",SUMIFS(Ventas!$I:$I,Ventas!$C:$C,A45))</f>
        <v/>
      </c>
      <c r="R45" s="20">
        <f>IF(A45="","",SUMIFS(Pagos!$E:$E,Pagos!$C:$C,A45))</f>
        <v/>
      </c>
      <c r="S45" s="20">
        <f>IF(A45="","",Q45-R45)</f>
        <v/>
      </c>
    </row>
    <row r="46">
      <c r="A46" s="18">
        <f>IF(B46="","","A"&amp;TEXT(ROW()-1,"000"))</f>
        <v/>
      </c>
      <c r="I46" s="19" t="n"/>
      <c r="N46" s="18">
        <f>IF(A46="","",SUMIFS(Ventas!$F:$F,Ventas!$C:$C,A46))</f>
        <v/>
      </c>
      <c r="O46" s="18">
        <f>IF(A46="","",SUMIFS(Clases!$I:$I,Clases!$C:$C,A46,Clases!$J:$J,"&lt;&gt;Reprogramada"))</f>
        <v/>
      </c>
      <c r="P46" s="18">
        <f>IF(A46="","",N46-O46)</f>
        <v/>
      </c>
      <c r="Q46" s="20">
        <f>IF(A46="","",SUMIFS(Ventas!$I:$I,Ventas!$C:$C,A46))</f>
        <v/>
      </c>
      <c r="R46" s="20">
        <f>IF(A46="","",SUMIFS(Pagos!$E:$E,Pagos!$C:$C,A46))</f>
        <v/>
      </c>
      <c r="S46" s="20">
        <f>IF(A46="","",Q46-R46)</f>
        <v/>
      </c>
    </row>
    <row r="47">
      <c r="A47" s="18">
        <f>IF(B47="","","A"&amp;TEXT(ROW()-1,"000"))</f>
        <v/>
      </c>
      <c r="I47" s="19" t="n"/>
      <c r="N47" s="18">
        <f>IF(A47="","",SUMIFS(Ventas!$F:$F,Ventas!$C:$C,A47))</f>
        <v/>
      </c>
      <c r="O47" s="18">
        <f>IF(A47="","",SUMIFS(Clases!$I:$I,Clases!$C:$C,A47,Clases!$J:$J,"&lt;&gt;Reprogramada"))</f>
        <v/>
      </c>
      <c r="P47" s="18">
        <f>IF(A47="","",N47-O47)</f>
        <v/>
      </c>
      <c r="Q47" s="20">
        <f>IF(A47="","",SUMIFS(Ventas!$I:$I,Ventas!$C:$C,A47))</f>
        <v/>
      </c>
      <c r="R47" s="20">
        <f>IF(A47="","",SUMIFS(Pagos!$E:$E,Pagos!$C:$C,A47))</f>
        <v/>
      </c>
      <c r="S47" s="20">
        <f>IF(A47="","",Q47-R47)</f>
        <v/>
      </c>
    </row>
    <row r="48">
      <c r="A48" s="18">
        <f>IF(B48="","","A"&amp;TEXT(ROW()-1,"000"))</f>
        <v/>
      </c>
      <c r="I48" s="19" t="n"/>
      <c r="N48" s="18">
        <f>IF(A48="","",SUMIFS(Ventas!$F:$F,Ventas!$C:$C,A48))</f>
        <v/>
      </c>
      <c r="O48" s="18">
        <f>IF(A48="","",SUMIFS(Clases!$I:$I,Clases!$C:$C,A48,Clases!$J:$J,"&lt;&gt;Reprogramada"))</f>
        <v/>
      </c>
      <c r="P48" s="18">
        <f>IF(A48="","",N48-O48)</f>
        <v/>
      </c>
      <c r="Q48" s="20">
        <f>IF(A48="","",SUMIFS(Ventas!$I:$I,Ventas!$C:$C,A48))</f>
        <v/>
      </c>
      <c r="R48" s="20">
        <f>IF(A48="","",SUMIFS(Pagos!$E:$E,Pagos!$C:$C,A48))</f>
        <v/>
      </c>
      <c r="S48" s="20">
        <f>IF(A48="","",Q48-R48)</f>
        <v/>
      </c>
    </row>
    <row r="49">
      <c r="A49" s="18">
        <f>IF(B49="","","A"&amp;TEXT(ROW()-1,"000"))</f>
        <v/>
      </c>
      <c r="I49" s="19" t="n"/>
      <c r="N49" s="18">
        <f>IF(A49="","",SUMIFS(Ventas!$F:$F,Ventas!$C:$C,A49))</f>
        <v/>
      </c>
      <c r="O49" s="18">
        <f>IF(A49="","",SUMIFS(Clases!$I:$I,Clases!$C:$C,A49,Clases!$J:$J,"&lt;&gt;Reprogramada"))</f>
        <v/>
      </c>
      <c r="P49" s="18">
        <f>IF(A49="","",N49-O49)</f>
        <v/>
      </c>
      <c r="Q49" s="20">
        <f>IF(A49="","",SUMIFS(Ventas!$I:$I,Ventas!$C:$C,A49))</f>
        <v/>
      </c>
      <c r="R49" s="20">
        <f>IF(A49="","",SUMIFS(Pagos!$E:$E,Pagos!$C:$C,A49))</f>
        <v/>
      </c>
      <c r="S49" s="20">
        <f>IF(A49="","",Q49-R49)</f>
        <v/>
      </c>
    </row>
    <row r="50">
      <c r="A50" s="18">
        <f>IF(B50="","","A"&amp;TEXT(ROW()-1,"000"))</f>
        <v/>
      </c>
      <c r="I50" s="19" t="n"/>
      <c r="N50" s="18">
        <f>IF(A50="","",SUMIFS(Ventas!$F:$F,Ventas!$C:$C,A50))</f>
        <v/>
      </c>
      <c r="O50" s="18">
        <f>IF(A50="","",SUMIFS(Clases!$I:$I,Clases!$C:$C,A50,Clases!$J:$J,"&lt;&gt;Reprogramada"))</f>
        <v/>
      </c>
      <c r="P50" s="18">
        <f>IF(A50="","",N50-O50)</f>
        <v/>
      </c>
      <c r="Q50" s="20">
        <f>IF(A50="","",SUMIFS(Ventas!$I:$I,Ventas!$C:$C,A50))</f>
        <v/>
      </c>
      <c r="R50" s="20">
        <f>IF(A50="","",SUMIFS(Pagos!$E:$E,Pagos!$C:$C,A50))</f>
        <v/>
      </c>
      <c r="S50" s="20">
        <f>IF(A50="","",Q50-R50)</f>
        <v/>
      </c>
    </row>
    <row r="51">
      <c r="A51" s="18">
        <f>IF(B51="","","A"&amp;TEXT(ROW()-1,"000"))</f>
        <v/>
      </c>
      <c r="I51" s="19" t="n"/>
      <c r="N51" s="18">
        <f>IF(A51="","",SUMIFS(Ventas!$F:$F,Ventas!$C:$C,A51))</f>
        <v/>
      </c>
      <c r="O51" s="18">
        <f>IF(A51="","",SUMIFS(Clases!$I:$I,Clases!$C:$C,A51,Clases!$J:$J,"&lt;&gt;Reprogramada"))</f>
        <v/>
      </c>
      <c r="P51" s="18">
        <f>IF(A51="","",N51-O51)</f>
        <v/>
      </c>
      <c r="Q51" s="20">
        <f>IF(A51="","",SUMIFS(Ventas!$I:$I,Ventas!$C:$C,A51))</f>
        <v/>
      </c>
      <c r="R51" s="20">
        <f>IF(A51="","",SUMIFS(Pagos!$E:$E,Pagos!$C:$C,A51))</f>
        <v/>
      </c>
      <c r="S51" s="20">
        <f>IF(A51="","",Q51-R51)</f>
        <v/>
      </c>
    </row>
    <row r="52">
      <c r="A52" s="18">
        <f>IF(B52="","","A"&amp;TEXT(ROW()-1,"000"))</f>
        <v/>
      </c>
      <c r="I52" s="19" t="n"/>
      <c r="N52" s="18">
        <f>IF(A52="","",SUMIFS(Ventas!$F:$F,Ventas!$C:$C,A52))</f>
        <v/>
      </c>
      <c r="O52" s="18">
        <f>IF(A52="","",SUMIFS(Clases!$I:$I,Clases!$C:$C,A52,Clases!$J:$J,"&lt;&gt;Reprogramada"))</f>
        <v/>
      </c>
      <c r="P52" s="18">
        <f>IF(A52="","",N52-O52)</f>
        <v/>
      </c>
      <c r="Q52" s="20">
        <f>IF(A52="","",SUMIFS(Ventas!$I:$I,Ventas!$C:$C,A52))</f>
        <v/>
      </c>
      <c r="R52" s="20">
        <f>IF(A52="","",SUMIFS(Pagos!$E:$E,Pagos!$C:$C,A52))</f>
        <v/>
      </c>
      <c r="S52" s="20">
        <f>IF(A52="","",Q52-R52)</f>
        <v/>
      </c>
    </row>
    <row r="53">
      <c r="A53" s="18">
        <f>IF(B53="","","A"&amp;TEXT(ROW()-1,"000"))</f>
        <v/>
      </c>
      <c r="I53" s="19" t="n"/>
      <c r="N53" s="18">
        <f>IF(A53="","",SUMIFS(Ventas!$F:$F,Ventas!$C:$C,A53))</f>
        <v/>
      </c>
      <c r="O53" s="18">
        <f>IF(A53="","",SUMIFS(Clases!$I:$I,Clases!$C:$C,A53,Clases!$J:$J,"&lt;&gt;Reprogramada"))</f>
        <v/>
      </c>
      <c r="P53" s="18">
        <f>IF(A53="","",N53-O53)</f>
        <v/>
      </c>
      <c r="Q53" s="20">
        <f>IF(A53="","",SUMIFS(Ventas!$I:$I,Ventas!$C:$C,A53))</f>
        <v/>
      </c>
      <c r="R53" s="20">
        <f>IF(A53="","",SUMIFS(Pagos!$E:$E,Pagos!$C:$C,A53))</f>
        <v/>
      </c>
      <c r="S53" s="20">
        <f>IF(A53="","",Q53-R53)</f>
        <v/>
      </c>
    </row>
    <row r="54">
      <c r="A54" s="18">
        <f>IF(B54="","","A"&amp;TEXT(ROW()-1,"000"))</f>
        <v/>
      </c>
      <c r="I54" s="19" t="n"/>
      <c r="N54" s="18">
        <f>IF(A54="","",SUMIFS(Ventas!$F:$F,Ventas!$C:$C,A54))</f>
        <v/>
      </c>
      <c r="O54" s="18">
        <f>IF(A54="","",SUMIFS(Clases!$I:$I,Clases!$C:$C,A54,Clases!$J:$J,"&lt;&gt;Reprogramada"))</f>
        <v/>
      </c>
      <c r="P54" s="18">
        <f>IF(A54="","",N54-O54)</f>
        <v/>
      </c>
      <c r="Q54" s="20">
        <f>IF(A54="","",SUMIFS(Ventas!$I:$I,Ventas!$C:$C,A54))</f>
        <v/>
      </c>
      <c r="R54" s="20">
        <f>IF(A54="","",SUMIFS(Pagos!$E:$E,Pagos!$C:$C,A54))</f>
        <v/>
      </c>
      <c r="S54" s="20">
        <f>IF(A54="","",Q54-R54)</f>
        <v/>
      </c>
    </row>
    <row r="55">
      <c r="A55" s="18">
        <f>IF(B55="","","A"&amp;TEXT(ROW()-1,"000"))</f>
        <v/>
      </c>
      <c r="I55" s="19" t="n"/>
      <c r="N55" s="18">
        <f>IF(A55="","",SUMIFS(Ventas!$F:$F,Ventas!$C:$C,A55))</f>
        <v/>
      </c>
      <c r="O55" s="18">
        <f>IF(A55="","",SUMIFS(Clases!$I:$I,Clases!$C:$C,A55,Clases!$J:$J,"&lt;&gt;Reprogramada"))</f>
        <v/>
      </c>
      <c r="P55" s="18">
        <f>IF(A55="","",N55-O55)</f>
        <v/>
      </c>
      <c r="Q55" s="20">
        <f>IF(A55="","",SUMIFS(Ventas!$I:$I,Ventas!$C:$C,A55))</f>
        <v/>
      </c>
      <c r="R55" s="20">
        <f>IF(A55="","",SUMIFS(Pagos!$E:$E,Pagos!$C:$C,A55))</f>
        <v/>
      </c>
      <c r="S55" s="20">
        <f>IF(A55="","",Q55-R55)</f>
        <v/>
      </c>
    </row>
    <row r="56">
      <c r="A56" s="18">
        <f>IF(B56="","","A"&amp;TEXT(ROW()-1,"000"))</f>
        <v/>
      </c>
      <c r="I56" s="19" t="n"/>
      <c r="N56" s="18">
        <f>IF(A56="","",SUMIFS(Ventas!$F:$F,Ventas!$C:$C,A56))</f>
        <v/>
      </c>
      <c r="O56" s="18">
        <f>IF(A56="","",SUMIFS(Clases!$I:$I,Clases!$C:$C,A56,Clases!$J:$J,"&lt;&gt;Reprogramada"))</f>
        <v/>
      </c>
      <c r="P56" s="18">
        <f>IF(A56="","",N56-O56)</f>
        <v/>
      </c>
      <c r="Q56" s="20">
        <f>IF(A56="","",SUMIFS(Ventas!$I:$I,Ventas!$C:$C,A56))</f>
        <v/>
      </c>
      <c r="R56" s="20">
        <f>IF(A56="","",SUMIFS(Pagos!$E:$E,Pagos!$C:$C,A56))</f>
        <v/>
      </c>
      <c r="S56" s="20">
        <f>IF(A56="","",Q56-R56)</f>
        <v/>
      </c>
    </row>
    <row r="57">
      <c r="A57" s="18">
        <f>IF(B57="","","A"&amp;TEXT(ROW()-1,"000"))</f>
        <v/>
      </c>
      <c r="I57" s="19" t="n"/>
      <c r="N57" s="18">
        <f>IF(A57="","",SUMIFS(Ventas!$F:$F,Ventas!$C:$C,A57))</f>
        <v/>
      </c>
      <c r="O57" s="18">
        <f>IF(A57="","",SUMIFS(Clases!$I:$I,Clases!$C:$C,A57,Clases!$J:$J,"&lt;&gt;Reprogramada"))</f>
        <v/>
      </c>
      <c r="P57" s="18">
        <f>IF(A57="","",N57-O57)</f>
        <v/>
      </c>
      <c r="Q57" s="20">
        <f>IF(A57="","",SUMIFS(Ventas!$I:$I,Ventas!$C:$C,A57))</f>
        <v/>
      </c>
      <c r="R57" s="20">
        <f>IF(A57="","",SUMIFS(Pagos!$E:$E,Pagos!$C:$C,A57))</f>
        <v/>
      </c>
      <c r="S57" s="20">
        <f>IF(A57="","",Q57-R57)</f>
        <v/>
      </c>
    </row>
    <row r="58">
      <c r="A58" s="18">
        <f>IF(B58="","","A"&amp;TEXT(ROW()-1,"000"))</f>
        <v/>
      </c>
      <c r="I58" s="19" t="n"/>
      <c r="N58" s="18">
        <f>IF(A58="","",SUMIFS(Ventas!$F:$F,Ventas!$C:$C,A58))</f>
        <v/>
      </c>
      <c r="O58" s="18">
        <f>IF(A58="","",SUMIFS(Clases!$I:$I,Clases!$C:$C,A58,Clases!$J:$J,"&lt;&gt;Reprogramada"))</f>
        <v/>
      </c>
      <c r="P58" s="18">
        <f>IF(A58="","",N58-O58)</f>
        <v/>
      </c>
      <c r="Q58" s="20">
        <f>IF(A58="","",SUMIFS(Ventas!$I:$I,Ventas!$C:$C,A58))</f>
        <v/>
      </c>
      <c r="R58" s="20">
        <f>IF(A58="","",SUMIFS(Pagos!$E:$E,Pagos!$C:$C,A58))</f>
        <v/>
      </c>
      <c r="S58" s="20">
        <f>IF(A58="","",Q58-R58)</f>
        <v/>
      </c>
    </row>
    <row r="59">
      <c r="A59" s="18">
        <f>IF(B59="","","A"&amp;TEXT(ROW()-1,"000"))</f>
        <v/>
      </c>
      <c r="I59" s="19" t="n"/>
      <c r="N59" s="18">
        <f>IF(A59="","",SUMIFS(Ventas!$F:$F,Ventas!$C:$C,A59))</f>
        <v/>
      </c>
      <c r="O59" s="18">
        <f>IF(A59="","",SUMIFS(Clases!$I:$I,Clases!$C:$C,A59,Clases!$J:$J,"&lt;&gt;Reprogramada"))</f>
        <v/>
      </c>
      <c r="P59" s="18">
        <f>IF(A59="","",N59-O59)</f>
        <v/>
      </c>
      <c r="Q59" s="20">
        <f>IF(A59="","",SUMIFS(Ventas!$I:$I,Ventas!$C:$C,A59))</f>
        <v/>
      </c>
      <c r="R59" s="20">
        <f>IF(A59="","",SUMIFS(Pagos!$E:$E,Pagos!$C:$C,A59))</f>
        <v/>
      </c>
      <c r="S59" s="20">
        <f>IF(A59="","",Q59-R59)</f>
        <v/>
      </c>
    </row>
    <row r="60">
      <c r="A60" s="18">
        <f>IF(B60="","","A"&amp;TEXT(ROW()-1,"000"))</f>
        <v/>
      </c>
      <c r="I60" s="19" t="n"/>
      <c r="N60" s="18">
        <f>IF(A60="","",SUMIFS(Ventas!$F:$F,Ventas!$C:$C,A60))</f>
        <v/>
      </c>
      <c r="O60" s="18">
        <f>IF(A60="","",SUMIFS(Clases!$I:$I,Clases!$C:$C,A60,Clases!$J:$J,"&lt;&gt;Reprogramada"))</f>
        <v/>
      </c>
      <c r="P60" s="18">
        <f>IF(A60="","",N60-O60)</f>
        <v/>
      </c>
      <c r="Q60" s="20">
        <f>IF(A60="","",SUMIFS(Ventas!$I:$I,Ventas!$C:$C,A60))</f>
        <v/>
      </c>
      <c r="R60" s="20">
        <f>IF(A60="","",SUMIFS(Pagos!$E:$E,Pagos!$C:$C,A60))</f>
        <v/>
      </c>
      <c r="S60" s="20">
        <f>IF(A60="","",Q60-R60)</f>
        <v/>
      </c>
    </row>
    <row r="61">
      <c r="A61" s="18">
        <f>IF(B61="","","A"&amp;TEXT(ROW()-1,"000"))</f>
        <v/>
      </c>
      <c r="I61" s="19" t="n"/>
      <c r="N61" s="18">
        <f>IF(A61="","",SUMIFS(Ventas!$F:$F,Ventas!$C:$C,A61))</f>
        <v/>
      </c>
      <c r="O61" s="18">
        <f>IF(A61="","",SUMIFS(Clases!$I:$I,Clases!$C:$C,A61,Clases!$J:$J,"&lt;&gt;Reprogramada"))</f>
        <v/>
      </c>
      <c r="P61" s="18">
        <f>IF(A61="","",N61-O61)</f>
        <v/>
      </c>
      <c r="Q61" s="20">
        <f>IF(A61="","",SUMIFS(Ventas!$I:$I,Ventas!$C:$C,A61))</f>
        <v/>
      </c>
      <c r="R61" s="20">
        <f>IF(A61="","",SUMIFS(Pagos!$E:$E,Pagos!$C:$C,A61))</f>
        <v/>
      </c>
      <c r="S61" s="20">
        <f>IF(A61="","",Q61-R61)</f>
        <v/>
      </c>
    </row>
    <row r="62">
      <c r="A62" s="18">
        <f>IF(B62="","","A"&amp;TEXT(ROW()-1,"000"))</f>
        <v/>
      </c>
      <c r="I62" s="19" t="n"/>
      <c r="N62" s="18">
        <f>IF(A62="","",SUMIFS(Ventas!$F:$F,Ventas!$C:$C,A62))</f>
        <v/>
      </c>
      <c r="O62" s="18">
        <f>IF(A62="","",SUMIFS(Clases!$I:$I,Clases!$C:$C,A62,Clases!$J:$J,"&lt;&gt;Reprogramada"))</f>
        <v/>
      </c>
      <c r="P62" s="18">
        <f>IF(A62="","",N62-O62)</f>
        <v/>
      </c>
      <c r="Q62" s="20">
        <f>IF(A62="","",SUMIFS(Ventas!$I:$I,Ventas!$C:$C,A62))</f>
        <v/>
      </c>
      <c r="R62" s="20">
        <f>IF(A62="","",SUMIFS(Pagos!$E:$E,Pagos!$C:$C,A62))</f>
        <v/>
      </c>
      <c r="S62" s="20">
        <f>IF(A62="","",Q62-R62)</f>
        <v/>
      </c>
    </row>
    <row r="63">
      <c r="A63" s="18">
        <f>IF(B63="","","A"&amp;TEXT(ROW()-1,"000"))</f>
        <v/>
      </c>
      <c r="I63" s="19" t="n"/>
      <c r="N63" s="18">
        <f>IF(A63="","",SUMIFS(Ventas!$F:$F,Ventas!$C:$C,A63))</f>
        <v/>
      </c>
      <c r="O63" s="18">
        <f>IF(A63="","",SUMIFS(Clases!$I:$I,Clases!$C:$C,A63,Clases!$J:$J,"&lt;&gt;Reprogramada"))</f>
        <v/>
      </c>
      <c r="P63" s="18">
        <f>IF(A63="","",N63-O63)</f>
        <v/>
      </c>
      <c r="Q63" s="20">
        <f>IF(A63="","",SUMIFS(Ventas!$I:$I,Ventas!$C:$C,A63))</f>
        <v/>
      </c>
      <c r="R63" s="20">
        <f>IF(A63="","",SUMIFS(Pagos!$E:$E,Pagos!$C:$C,A63))</f>
        <v/>
      </c>
      <c r="S63" s="20">
        <f>IF(A63="","",Q63-R63)</f>
        <v/>
      </c>
    </row>
    <row r="64">
      <c r="A64" s="18">
        <f>IF(B64="","","A"&amp;TEXT(ROW()-1,"000"))</f>
        <v/>
      </c>
      <c r="I64" s="19" t="n"/>
      <c r="N64" s="18">
        <f>IF(A64="","",SUMIFS(Ventas!$F:$F,Ventas!$C:$C,A64))</f>
        <v/>
      </c>
      <c r="O64" s="18">
        <f>IF(A64="","",SUMIFS(Clases!$I:$I,Clases!$C:$C,A64,Clases!$J:$J,"&lt;&gt;Reprogramada"))</f>
        <v/>
      </c>
      <c r="P64" s="18">
        <f>IF(A64="","",N64-O64)</f>
        <v/>
      </c>
      <c r="Q64" s="20">
        <f>IF(A64="","",SUMIFS(Ventas!$I:$I,Ventas!$C:$C,A64))</f>
        <v/>
      </c>
      <c r="R64" s="20">
        <f>IF(A64="","",SUMIFS(Pagos!$E:$E,Pagos!$C:$C,A64))</f>
        <v/>
      </c>
      <c r="S64" s="20">
        <f>IF(A64="","",Q64-R64)</f>
        <v/>
      </c>
    </row>
    <row r="65">
      <c r="A65" s="18">
        <f>IF(B65="","","A"&amp;TEXT(ROW()-1,"000"))</f>
        <v/>
      </c>
      <c r="I65" s="19" t="n"/>
      <c r="N65" s="18">
        <f>IF(A65="","",SUMIFS(Ventas!$F:$F,Ventas!$C:$C,A65))</f>
        <v/>
      </c>
      <c r="O65" s="18">
        <f>IF(A65="","",SUMIFS(Clases!$I:$I,Clases!$C:$C,A65,Clases!$J:$J,"&lt;&gt;Reprogramada"))</f>
        <v/>
      </c>
      <c r="P65" s="18">
        <f>IF(A65="","",N65-O65)</f>
        <v/>
      </c>
      <c r="Q65" s="20">
        <f>IF(A65="","",SUMIFS(Ventas!$I:$I,Ventas!$C:$C,A65))</f>
        <v/>
      </c>
      <c r="R65" s="20">
        <f>IF(A65="","",SUMIFS(Pagos!$E:$E,Pagos!$C:$C,A65))</f>
        <v/>
      </c>
      <c r="S65" s="20">
        <f>IF(A65="","",Q65-R65)</f>
        <v/>
      </c>
    </row>
    <row r="66">
      <c r="A66" s="18">
        <f>IF(B66="","","A"&amp;TEXT(ROW()-1,"000"))</f>
        <v/>
      </c>
      <c r="I66" s="19" t="n"/>
      <c r="N66" s="18">
        <f>IF(A66="","",SUMIFS(Ventas!$F:$F,Ventas!$C:$C,A66))</f>
        <v/>
      </c>
      <c r="O66" s="18">
        <f>IF(A66="","",SUMIFS(Clases!$I:$I,Clases!$C:$C,A66,Clases!$J:$J,"&lt;&gt;Reprogramada"))</f>
        <v/>
      </c>
      <c r="P66" s="18">
        <f>IF(A66="","",N66-O66)</f>
        <v/>
      </c>
      <c r="Q66" s="20">
        <f>IF(A66="","",SUMIFS(Ventas!$I:$I,Ventas!$C:$C,A66))</f>
        <v/>
      </c>
      <c r="R66" s="20">
        <f>IF(A66="","",SUMIFS(Pagos!$E:$E,Pagos!$C:$C,A66))</f>
        <v/>
      </c>
      <c r="S66" s="20">
        <f>IF(A66="","",Q66-R66)</f>
        <v/>
      </c>
    </row>
    <row r="67">
      <c r="A67" s="18">
        <f>IF(B67="","","A"&amp;TEXT(ROW()-1,"000"))</f>
        <v/>
      </c>
      <c r="I67" s="19" t="n"/>
      <c r="N67" s="18">
        <f>IF(A67="","",SUMIFS(Ventas!$F:$F,Ventas!$C:$C,A67))</f>
        <v/>
      </c>
      <c r="O67" s="18">
        <f>IF(A67="","",SUMIFS(Clases!$I:$I,Clases!$C:$C,A67,Clases!$J:$J,"&lt;&gt;Reprogramada"))</f>
        <v/>
      </c>
      <c r="P67" s="18">
        <f>IF(A67="","",N67-O67)</f>
        <v/>
      </c>
      <c r="Q67" s="20">
        <f>IF(A67="","",SUMIFS(Ventas!$I:$I,Ventas!$C:$C,A67))</f>
        <v/>
      </c>
      <c r="R67" s="20">
        <f>IF(A67="","",SUMIFS(Pagos!$E:$E,Pagos!$C:$C,A67))</f>
        <v/>
      </c>
      <c r="S67" s="20">
        <f>IF(A67="","",Q67-R67)</f>
        <v/>
      </c>
    </row>
    <row r="68">
      <c r="A68" s="18">
        <f>IF(B68="","","A"&amp;TEXT(ROW()-1,"000"))</f>
        <v/>
      </c>
      <c r="I68" s="19" t="n"/>
      <c r="N68" s="18">
        <f>IF(A68="","",SUMIFS(Ventas!$F:$F,Ventas!$C:$C,A68))</f>
        <v/>
      </c>
      <c r="O68" s="18">
        <f>IF(A68="","",SUMIFS(Clases!$I:$I,Clases!$C:$C,A68,Clases!$J:$J,"&lt;&gt;Reprogramada"))</f>
        <v/>
      </c>
      <c r="P68" s="18">
        <f>IF(A68="","",N68-O68)</f>
        <v/>
      </c>
      <c r="Q68" s="20">
        <f>IF(A68="","",SUMIFS(Ventas!$I:$I,Ventas!$C:$C,A68))</f>
        <v/>
      </c>
      <c r="R68" s="20">
        <f>IF(A68="","",SUMIFS(Pagos!$E:$E,Pagos!$C:$C,A68))</f>
        <v/>
      </c>
      <c r="S68" s="20">
        <f>IF(A68="","",Q68-R68)</f>
        <v/>
      </c>
    </row>
    <row r="69">
      <c r="A69" s="18">
        <f>IF(B69="","","A"&amp;TEXT(ROW()-1,"000"))</f>
        <v/>
      </c>
      <c r="I69" s="19" t="n"/>
      <c r="N69" s="18">
        <f>IF(A69="","",SUMIFS(Ventas!$F:$F,Ventas!$C:$C,A69))</f>
        <v/>
      </c>
      <c r="O69" s="18">
        <f>IF(A69="","",SUMIFS(Clases!$I:$I,Clases!$C:$C,A69,Clases!$J:$J,"&lt;&gt;Reprogramada"))</f>
        <v/>
      </c>
      <c r="P69" s="18">
        <f>IF(A69="","",N69-O69)</f>
        <v/>
      </c>
      <c r="Q69" s="20">
        <f>IF(A69="","",SUMIFS(Ventas!$I:$I,Ventas!$C:$C,A69))</f>
        <v/>
      </c>
      <c r="R69" s="20">
        <f>IF(A69="","",SUMIFS(Pagos!$E:$E,Pagos!$C:$C,A69))</f>
        <v/>
      </c>
      <c r="S69" s="20">
        <f>IF(A69="","",Q69-R69)</f>
        <v/>
      </c>
    </row>
    <row r="70">
      <c r="A70" s="18">
        <f>IF(B70="","","A"&amp;TEXT(ROW()-1,"000"))</f>
        <v/>
      </c>
      <c r="I70" s="19" t="n"/>
      <c r="N70" s="18">
        <f>IF(A70="","",SUMIFS(Ventas!$F:$F,Ventas!$C:$C,A70))</f>
        <v/>
      </c>
      <c r="O70" s="18">
        <f>IF(A70="","",SUMIFS(Clases!$I:$I,Clases!$C:$C,A70,Clases!$J:$J,"&lt;&gt;Reprogramada"))</f>
        <v/>
      </c>
      <c r="P70" s="18">
        <f>IF(A70="","",N70-O70)</f>
        <v/>
      </c>
      <c r="Q70" s="20">
        <f>IF(A70="","",SUMIFS(Ventas!$I:$I,Ventas!$C:$C,A70))</f>
        <v/>
      </c>
      <c r="R70" s="20">
        <f>IF(A70="","",SUMIFS(Pagos!$E:$E,Pagos!$C:$C,A70))</f>
        <v/>
      </c>
      <c r="S70" s="20">
        <f>IF(A70="","",Q70-R70)</f>
        <v/>
      </c>
    </row>
    <row r="71">
      <c r="A71" s="18">
        <f>IF(B71="","","A"&amp;TEXT(ROW()-1,"000"))</f>
        <v/>
      </c>
      <c r="I71" s="19" t="n"/>
      <c r="N71" s="18">
        <f>IF(A71="","",SUMIFS(Ventas!$F:$F,Ventas!$C:$C,A71))</f>
        <v/>
      </c>
      <c r="O71" s="18">
        <f>IF(A71="","",SUMIFS(Clases!$I:$I,Clases!$C:$C,A71,Clases!$J:$J,"&lt;&gt;Reprogramada"))</f>
        <v/>
      </c>
      <c r="P71" s="18">
        <f>IF(A71="","",N71-O71)</f>
        <v/>
      </c>
      <c r="Q71" s="20">
        <f>IF(A71="","",SUMIFS(Ventas!$I:$I,Ventas!$C:$C,A71))</f>
        <v/>
      </c>
      <c r="R71" s="20">
        <f>IF(A71="","",SUMIFS(Pagos!$E:$E,Pagos!$C:$C,A71))</f>
        <v/>
      </c>
      <c r="S71" s="20">
        <f>IF(A71="","",Q71-R71)</f>
        <v/>
      </c>
    </row>
    <row r="72">
      <c r="A72" s="18">
        <f>IF(B72="","","A"&amp;TEXT(ROW()-1,"000"))</f>
        <v/>
      </c>
      <c r="I72" s="19" t="n"/>
      <c r="N72" s="18">
        <f>IF(A72="","",SUMIFS(Ventas!$F:$F,Ventas!$C:$C,A72))</f>
        <v/>
      </c>
      <c r="O72" s="18">
        <f>IF(A72="","",SUMIFS(Clases!$I:$I,Clases!$C:$C,A72,Clases!$J:$J,"&lt;&gt;Reprogramada"))</f>
        <v/>
      </c>
      <c r="P72" s="18">
        <f>IF(A72="","",N72-O72)</f>
        <v/>
      </c>
      <c r="Q72" s="20">
        <f>IF(A72="","",SUMIFS(Ventas!$I:$I,Ventas!$C:$C,A72))</f>
        <v/>
      </c>
      <c r="R72" s="20">
        <f>IF(A72="","",SUMIFS(Pagos!$E:$E,Pagos!$C:$C,A72))</f>
        <v/>
      </c>
      <c r="S72" s="20">
        <f>IF(A72="","",Q72-R72)</f>
        <v/>
      </c>
    </row>
    <row r="73">
      <c r="A73" s="18">
        <f>IF(B73="","","A"&amp;TEXT(ROW()-1,"000"))</f>
        <v/>
      </c>
      <c r="I73" s="19" t="n"/>
      <c r="N73" s="18">
        <f>IF(A73="","",SUMIFS(Ventas!$F:$F,Ventas!$C:$C,A73))</f>
        <v/>
      </c>
      <c r="O73" s="18">
        <f>IF(A73="","",SUMIFS(Clases!$I:$I,Clases!$C:$C,A73,Clases!$J:$J,"&lt;&gt;Reprogramada"))</f>
        <v/>
      </c>
      <c r="P73" s="18">
        <f>IF(A73="","",N73-O73)</f>
        <v/>
      </c>
      <c r="Q73" s="20">
        <f>IF(A73="","",SUMIFS(Ventas!$I:$I,Ventas!$C:$C,A73))</f>
        <v/>
      </c>
      <c r="R73" s="20">
        <f>IF(A73="","",SUMIFS(Pagos!$E:$E,Pagos!$C:$C,A73))</f>
        <v/>
      </c>
      <c r="S73" s="20">
        <f>IF(A73="","",Q73-R73)</f>
        <v/>
      </c>
    </row>
    <row r="74">
      <c r="A74" s="18">
        <f>IF(B74="","","A"&amp;TEXT(ROW()-1,"000"))</f>
        <v/>
      </c>
      <c r="I74" s="19" t="n"/>
      <c r="N74" s="18">
        <f>IF(A74="","",SUMIFS(Ventas!$F:$F,Ventas!$C:$C,A74))</f>
        <v/>
      </c>
      <c r="O74" s="18">
        <f>IF(A74="","",SUMIFS(Clases!$I:$I,Clases!$C:$C,A74,Clases!$J:$J,"&lt;&gt;Reprogramada"))</f>
        <v/>
      </c>
      <c r="P74" s="18">
        <f>IF(A74="","",N74-O74)</f>
        <v/>
      </c>
      <c r="Q74" s="20">
        <f>IF(A74="","",SUMIFS(Ventas!$I:$I,Ventas!$C:$C,A74))</f>
        <v/>
      </c>
      <c r="R74" s="20">
        <f>IF(A74="","",SUMIFS(Pagos!$E:$E,Pagos!$C:$C,A74))</f>
        <v/>
      </c>
      <c r="S74" s="20">
        <f>IF(A74="","",Q74-R74)</f>
        <v/>
      </c>
    </row>
    <row r="75">
      <c r="A75" s="18">
        <f>IF(B75="","","A"&amp;TEXT(ROW()-1,"000"))</f>
        <v/>
      </c>
      <c r="I75" s="19" t="n"/>
      <c r="N75" s="18">
        <f>IF(A75="","",SUMIFS(Ventas!$F:$F,Ventas!$C:$C,A75))</f>
        <v/>
      </c>
      <c r="O75" s="18">
        <f>IF(A75="","",SUMIFS(Clases!$I:$I,Clases!$C:$C,A75,Clases!$J:$J,"&lt;&gt;Reprogramada"))</f>
        <v/>
      </c>
      <c r="P75" s="18">
        <f>IF(A75="","",N75-O75)</f>
        <v/>
      </c>
      <c r="Q75" s="20">
        <f>IF(A75="","",SUMIFS(Ventas!$I:$I,Ventas!$C:$C,A75))</f>
        <v/>
      </c>
      <c r="R75" s="20">
        <f>IF(A75="","",SUMIFS(Pagos!$E:$E,Pagos!$C:$C,A75))</f>
        <v/>
      </c>
      <c r="S75" s="20">
        <f>IF(A75="","",Q75-R75)</f>
        <v/>
      </c>
    </row>
    <row r="76">
      <c r="A76" s="18">
        <f>IF(B76="","","A"&amp;TEXT(ROW()-1,"000"))</f>
        <v/>
      </c>
      <c r="I76" s="19" t="n"/>
      <c r="N76" s="18">
        <f>IF(A76="","",SUMIFS(Ventas!$F:$F,Ventas!$C:$C,A76))</f>
        <v/>
      </c>
      <c r="O76" s="18">
        <f>IF(A76="","",SUMIFS(Clases!$I:$I,Clases!$C:$C,A76,Clases!$J:$J,"&lt;&gt;Reprogramada"))</f>
        <v/>
      </c>
      <c r="P76" s="18">
        <f>IF(A76="","",N76-O76)</f>
        <v/>
      </c>
      <c r="Q76" s="20">
        <f>IF(A76="","",SUMIFS(Ventas!$I:$I,Ventas!$C:$C,A76))</f>
        <v/>
      </c>
      <c r="R76" s="20">
        <f>IF(A76="","",SUMIFS(Pagos!$E:$E,Pagos!$C:$C,A76))</f>
        <v/>
      </c>
      <c r="S76" s="20">
        <f>IF(A76="","",Q76-R76)</f>
        <v/>
      </c>
    </row>
    <row r="77">
      <c r="A77" s="18">
        <f>IF(B77="","","A"&amp;TEXT(ROW()-1,"000"))</f>
        <v/>
      </c>
      <c r="I77" s="19" t="n"/>
      <c r="N77" s="18">
        <f>IF(A77="","",SUMIFS(Ventas!$F:$F,Ventas!$C:$C,A77))</f>
        <v/>
      </c>
      <c r="O77" s="18">
        <f>IF(A77="","",SUMIFS(Clases!$I:$I,Clases!$C:$C,A77,Clases!$J:$J,"&lt;&gt;Reprogramada"))</f>
        <v/>
      </c>
      <c r="P77" s="18">
        <f>IF(A77="","",N77-O77)</f>
        <v/>
      </c>
      <c r="Q77" s="20">
        <f>IF(A77="","",SUMIFS(Ventas!$I:$I,Ventas!$C:$C,A77))</f>
        <v/>
      </c>
      <c r="R77" s="20">
        <f>IF(A77="","",SUMIFS(Pagos!$E:$E,Pagos!$C:$C,A77))</f>
        <v/>
      </c>
      <c r="S77" s="20">
        <f>IF(A77="","",Q77-R77)</f>
        <v/>
      </c>
    </row>
    <row r="78">
      <c r="A78" s="18">
        <f>IF(B78="","","A"&amp;TEXT(ROW()-1,"000"))</f>
        <v/>
      </c>
      <c r="I78" s="19" t="n"/>
      <c r="N78" s="18">
        <f>IF(A78="","",SUMIFS(Ventas!$F:$F,Ventas!$C:$C,A78))</f>
        <v/>
      </c>
      <c r="O78" s="18">
        <f>IF(A78="","",SUMIFS(Clases!$I:$I,Clases!$C:$C,A78,Clases!$J:$J,"&lt;&gt;Reprogramada"))</f>
        <v/>
      </c>
      <c r="P78" s="18">
        <f>IF(A78="","",N78-O78)</f>
        <v/>
      </c>
      <c r="Q78" s="20">
        <f>IF(A78="","",SUMIFS(Ventas!$I:$I,Ventas!$C:$C,A78))</f>
        <v/>
      </c>
      <c r="R78" s="20">
        <f>IF(A78="","",SUMIFS(Pagos!$E:$E,Pagos!$C:$C,A78))</f>
        <v/>
      </c>
      <c r="S78" s="20">
        <f>IF(A78="","",Q78-R78)</f>
        <v/>
      </c>
    </row>
    <row r="79">
      <c r="A79" s="18">
        <f>IF(B79="","","A"&amp;TEXT(ROW()-1,"000"))</f>
        <v/>
      </c>
      <c r="I79" s="19" t="n"/>
      <c r="N79" s="18">
        <f>IF(A79="","",SUMIFS(Ventas!$F:$F,Ventas!$C:$C,A79))</f>
        <v/>
      </c>
      <c r="O79" s="18">
        <f>IF(A79="","",SUMIFS(Clases!$I:$I,Clases!$C:$C,A79,Clases!$J:$J,"&lt;&gt;Reprogramada"))</f>
        <v/>
      </c>
      <c r="P79" s="18">
        <f>IF(A79="","",N79-O79)</f>
        <v/>
      </c>
      <c r="Q79" s="20">
        <f>IF(A79="","",SUMIFS(Ventas!$I:$I,Ventas!$C:$C,A79))</f>
        <v/>
      </c>
      <c r="R79" s="20">
        <f>IF(A79="","",SUMIFS(Pagos!$E:$E,Pagos!$C:$C,A79))</f>
        <v/>
      </c>
      <c r="S79" s="20">
        <f>IF(A79="","",Q79-R79)</f>
        <v/>
      </c>
    </row>
    <row r="80">
      <c r="A80" s="18">
        <f>IF(B80="","","A"&amp;TEXT(ROW()-1,"000"))</f>
        <v/>
      </c>
      <c r="I80" s="19" t="n"/>
      <c r="N80" s="18">
        <f>IF(A80="","",SUMIFS(Ventas!$F:$F,Ventas!$C:$C,A80))</f>
        <v/>
      </c>
      <c r="O80" s="18">
        <f>IF(A80="","",SUMIFS(Clases!$I:$I,Clases!$C:$C,A80,Clases!$J:$J,"&lt;&gt;Reprogramada"))</f>
        <v/>
      </c>
      <c r="P80" s="18">
        <f>IF(A80="","",N80-O80)</f>
        <v/>
      </c>
      <c r="Q80" s="20">
        <f>IF(A80="","",SUMIFS(Ventas!$I:$I,Ventas!$C:$C,A80))</f>
        <v/>
      </c>
      <c r="R80" s="20">
        <f>IF(A80="","",SUMIFS(Pagos!$E:$E,Pagos!$C:$C,A80))</f>
        <v/>
      </c>
      <c r="S80" s="20">
        <f>IF(A80="","",Q80-R80)</f>
        <v/>
      </c>
    </row>
    <row r="81">
      <c r="A81" s="18">
        <f>IF(B81="","","A"&amp;TEXT(ROW()-1,"000"))</f>
        <v/>
      </c>
      <c r="I81" s="19" t="n"/>
      <c r="N81" s="18">
        <f>IF(A81="","",SUMIFS(Ventas!$F:$F,Ventas!$C:$C,A81))</f>
        <v/>
      </c>
      <c r="O81" s="18">
        <f>IF(A81="","",SUMIFS(Clases!$I:$I,Clases!$C:$C,A81,Clases!$J:$J,"&lt;&gt;Reprogramada"))</f>
        <v/>
      </c>
      <c r="P81" s="18">
        <f>IF(A81="","",N81-O81)</f>
        <v/>
      </c>
      <c r="Q81" s="20">
        <f>IF(A81="","",SUMIFS(Ventas!$I:$I,Ventas!$C:$C,A81))</f>
        <v/>
      </c>
      <c r="R81" s="20">
        <f>IF(A81="","",SUMIFS(Pagos!$E:$E,Pagos!$C:$C,A81))</f>
        <v/>
      </c>
      <c r="S81" s="20">
        <f>IF(A81="","",Q81-R81)</f>
        <v/>
      </c>
    </row>
    <row r="82">
      <c r="A82" s="18">
        <f>IF(B82="","","A"&amp;TEXT(ROW()-1,"000"))</f>
        <v/>
      </c>
      <c r="I82" s="19" t="n"/>
      <c r="N82" s="18">
        <f>IF(A82="","",SUMIFS(Ventas!$F:$F,Ventas!$C:$C,A82))</f>
        <v/>
      </c>
      <c r="O82" s="18">
        <f>IF(A82="","",SUMIFS(Clases!$I:$I,Clases!$C:$C,A82,Clases!$J:$J,"&lt;&gt;Reprogramada"))</f>
        <v/>
      </c>
      <c r="P82" s="18">
        <f>IF(A82="","",N82-O82)</f>
        <v/>
      </c>
      <c r="Q82" s="20">
        <f>IF(A82="","",SUMIFS(Ventas!$I:$I,Ventas!$C:$C,A82))</f>
        <v/>
      </c>
      <c r="R82" s="20">
        <f>IF(A82="","",SUMIFS(Pagos!$E:$E,Pagos!$C:$C,A82))</f>
        <v/>
      </c>
      <c r="S82" s="20">
        <f>IF(A82="","",Q82-R82)</f>
        <v/>
      </c>
    </row>
    <row r="83">
      <c r="A83" s="18">
        <f>IF(B83="","","A"&amp;TEXT(ROW()-1,"000"))</f>
        <v/>
      </c>
      <c r="I83" s="19" t="n"/>
      <c r="N83" s="18">
        <f>IF(A83="","",SUMIFS(Ventas!$F:$F,Ventas!$C:$C,A83))</f>
        <v/>
      </c>
      <c r="O83" s="18">
        <f>IF(A83="","",SUMIFS(Clases!$I:$I,Clases!$C:$C,A83,Clases!$J:$J,"&lt;&gt;Reprogramada"))</f>
        <v/>
      </c>
      <c r="P83" s="18">
        <f>IF(A83="","",N83-O83)</f>
        <v/>
      </c>
      <c r="Q83" s="20">
        <f>IF(A83="","",SUMIFS(Ventas!$I:$I,Ventas!$C:$C,A83))</f>
        <v/>
      </c>
      <c r="R83" s="20">
        <f>IF(A83="","",SUMIFS(Pagos!$E:$E,Pagos!$C:$C,A83))</f>
        <v/>
      </c>
      <c r="S83" s="20">
        <f>IF(A83="","",Q83-R83)</f>
        <v/>
      </c>
    </row>
    <row r="84">
      <c r="A84" s="18">
        <f>IF(B84="","","A"&amp;TEXT(ROW()-1,"000"))</f>
        <v/>
      </c>
      <c r="I84" s="19" t="n"/>
      <c r="N84" s="18">
        <f>IF(A84="","",SUMIFS(Ventas!$F:$F,Ventas!$C:$C,A84))</f>
        <v/>
      </c>
      <c r="O84" s="18">
        <f>IF(A84="","",SUMIFS(Clases!$I:$I,Clases!$C:$C,A84,Clases!$J:$J,"&lt;&gt;Reprogramada"))</f>
        <v/>
      </c>
      <c r="P84" s="18">
        <f>IF(A84="","",N84-O84)</f>
        <v/>
      </c>
      <c r="Q84" s="20">
        <f>IF(A84="","",SUMIFS(Ventas!$I:$I,Ventas!$C:$C,A84))</f>
        <v/>
      </c>
      <c r="R84" s="20">
        <f>IF(A84="","",SUMIFS(Pagos!$E:$E,Pagos!$C:$C,A84))</f>
        <v/>
      </c>
      <c r="S84" s="20">
        <f>IF(A84="","",Q84-R84)</f>
        <v/>
      </c>
    </row>
    <row r="85">
      <c r="A85" s="18">
        <f>IF(B85="","","A"&amp;TEXT(ROW()-1,"000"))</f>
        <v/>
      </c>
      <c r="I85" s="19" t="n"/>
      <c r="N85" s="18">
        <f>IF(A85="","",SUMIFS(Ventas!$F:$F,Ventas!$C:$C,A85))</f>
        <v/>
      </c>
      <c r="O85" s="18">
        <f>IF(A85="","",SUMIFS(Clases!$I:$I,Clases!$C:$C,A85,Clases!$J:$J,"&lt;&gt;Reprogramada"))</f>
        <v/>
      </c>
      <c r="P85" s="18">
        <f>IF(A85="","",N85-O85)</f>
        <v/>
      </c>
      <c r="Q85" s="20">
        <f>IF(A85="","",SUMIFS(Ventas!$I:$I,Ventas!$C:$C,A85))</f>
        <v/>
      </c>
      <c r="R85" s="20">
        <f>IF(A85="","",SUMIFS(Pagos!$E:$E,Pagos!$C:$C,A85))</f>
        <v/>
      </c>
      <c r="S85" s="20">
        <f>IF(A85="","",Q85-R85)</f>
        <v/>
      </c>
    </row>
    <row r="86">
      <c r="A86" s="18">
        <f>IF(B86="","","A"&amp;TEXT(ROW()-1,"000"))</f>
        <v/>
      </c>
      <c r="I86" s="19" t="n"/>
      <c r="N86" s="18">
        <f>IF(A86="","",SUMIFS(Ventas!$F:$F,Ventas!$C:$C,A86))</f>
        <v/>
      </c>
      <c r="O86" s="18">
        <f>IF(A86="","",SUMIFS(Clases!$I:$I,Clases!$C:$C,A86,Clases!$J:$J,"&lt;&gt;Reprogramada"))</f>
        <v/>
      </c>
      <c r="P86" s="18">
        <f>IF(A86="","",N86-O86)</f>
        <v/>
      </c>
      <c r="Q86" s="20">
        <f>IF(A86="","",SUMIFS(Ventas!$I:$I,Ventas!$C:$C,A86))</f>
        <v/>
      </c>
      <c r="R86" s="20">
        <f>IF(A86="","",SUMIFS(Pagos!$E:$E,Pagos!$C:$C,A86))</f>
        <v/>
      </c>
      <c r="S86" s="20">
        <f>IF(A86="","",Q86-R86)</f>
        <v/>
      </c>
    </row>
    <row r="87">
      <c r="A87" s="18">
        <f>IF(B87="","","A"&amp;TEXT(ROW()-1,"000"))</f>
        <v/>
      </c>
      <c r="I87" s="19" t="n"/>
      <c r="N87" s="18">
        <f>IF(A87="","",SUMIFS(Ventas!$F:$F,Ventas!$C:$C,A87))</f>
        <v/>
      </c>
      <c r="O87" s="18">
        <f>IF(A87="","",SUMIFS(Clases!$I:$I,Clases!$C:$C,A87,Clases!$J:$J,"&lt;&gt;Reprogramada"))</f>
        <v/>
      </c>
      <c r="P87" s="18">
        <f>IF(A87="","",N87-O87)</f>
        <v/>
      </c>
      <c r="Q87" s="20">
        <f>IF(A87="","",SUMIFS(Ventas!$I:$I,Ventas!$C:$C,A87))</f>
        <v/>
      </c>
      <c r="R87" s="20">
        <f>IF(A87="","",SUMIFS(Pagos!$E:$E,Pagos!$C:$C,A87))</f>
        <v/>
      </c>
      <c r="S87" s="20">
        <f>IF(A87="","",Q87-R87)</f>
        <v/>
      </c>
    </row>
    <row r="88">
      <c r="A88" s="18">
        <f>IF(B88="","","A"&amp;TEXT(ROW()-1,"000"))</f>
        <v/>
      </c>
      <c r="I88" s="19" t="n"/>
      <c r="N88" s="18">
        <f>IF(A88="","",SUMIFS(Ventas!$F:$F,Ventas!$C:$C,A88))</f>
        <v/>
      </c>
      <c r="O88" s="18">
        <f>IF(A88="","",SUMIFS(Clases!$I:$I,Clases!$C:$C,A88,Clases!$J:$J,"&lt;&gt;Reprogramada"))</f>
        <v/>
      </c>
      <c r="P88" s="18">
        <f>IF(A88="","",N88-O88)</f>
        <v/>
      </c>
      <c r="Q88" s="20">
        <f>IF(A88="","",SUMIFS(Ventas!$I:$I,Ventas!$C:$C,A88))</f>
        <v/>
      </c>
      <c r="R88" s="20">
        <f>IF(A88="","",SUMIFS(Pagos!$E:$E,Pagos!$C:$C,A88))</f>
        <v/>
      </c>
      <c r="S88" s="20">
        <f>IF(A88="","",Q88-R88)</f>
        <v/>
      </c>
    </row>
    <row r="89">
      <c r="A89" s="18">
        <f>IF(B89="","","A"&amp;TEXT(ROW()-1,"000"))</f>
        <v/>
      </c>
      <c r="I89" s="19" t="n"/>
      <c r="N89" s="18">
        <f>IF(A89="","",SUMIFS(Ventas!$F:$F,Ventas!$C:$C,A89))</f>
        <v/>
      </c>
      <c r="O89" s="18">
        <f>IF(A89="","",SUMIFS(Clases!$I:$I,Clases!$C:$C,A89,Clases!$J:$J,"&lt;&gt;Reprogramada"))</f>
        <v/>
      </c>
      <c r="P89" s="18">
        <f>IF(A89="","",N89-O89)</f>
        <v/>
      </c>
      <c r="Q89" s="20">
        <f>IF(A89="","",SUMIFS(Ventas!$I:$I,Ventas!$C:$C,A89))</f>
        <v/>
      </c>
      <c r="R89" s="20">
        <f>IF(A89="","",SUMIFS(Pagos!$E:$E,Pagos!$C:$C,A89))</f>
        <v/>
      </c>
      <c r="S89" s="20">
        <f>IF(A89="","",Q89-R89)</f>
        <v/>
      </c>
    </row>
    <row r="90">
      <c r="A90" s="18">
        <f>IF(B90="","","A"&amp;TEXT(ROW()-1,"000"))</f>
        <v/>
      </c>
      <c r="I90" s="19" t="n"/>
      <c r="N90" s="18">
        <f>IF(A90="","",SUMIFS(Ventas!$F:$F,Ventas!$C:$C,A90))</f>
        <v/>
      </c>
      <c r="O90" s="18">
        <f>IF(A90="","",SUMIFS(Clases!$I:$I,Clases!$C:$C,A90,Clases!$J:$J,"&lt;&gt;Reprogramada"))</f>
        <v/>
      </c>
      <c r="P90" s="18">
        <f>IF(A90="","",N90-O90)</f>
        <v/>
      </c>
      <c r="Q90" s="20">
        <f>IF(A90="","",SUMIFS(Ventas!$I:$I,Ventas!$C:$C,A90))</f>
        <v/>
      </c>
      <c r="R90" s="20">
        <f>IF(A90="","",SUMIFS(Pagos!$E:$E,Pagos!$C:$C,A90))</f>
        <v/>
      </c>
      <c r="S90" s="20">
        <f>IF(A90="","",Q90-R90)</f>
        <v/>
      </c>
    </row>
    <row r="91">
      <c r="A91" s="18">
        <f>IF(B91="","","A"&amp;TEXT(ROW()-1,"000"))</f>
        <v/>
      </c>
      <c r="I91" s="19" t="n"/>
      <c r="N91" s="18">
        <f>IF(A91="","",SUMIFS(Ventas!$F:$F,Ventas!$C:$C,A91))</f>
        <v/>
      </c>
      <c r="O91" s="18">
        <f>IF(A91="","",SUMIFS(Clases!$I:$I,Clases!$C:$C,A91,Clases!$J:$J,"&lt;&gt;Reprogramada"))</f>
        <v/>
      </c>
      <c r="P91" s="18">
        <f>IF(A91="","",N91-O91)</f>
        <v/>
      </c>
      <c r="Q91" s="20">
        <f>IF(A91="","",SUMIFS(Ventas!$I:$I,Ventas!$C:$C,A91))</f>
        <v/>
      </c>
      <c r="R91" s="20">
        <f>IF(A91="","",SUMIFS(Pagos!$E:$E,Pagos!$C:$C,A91))</f>
        <v/>
      </c>
      <c r="S91" s="20">
        <f>IF(A91="","",Q91-R91)</f>
        <v/>
      </c>
    </row>
    <row r="92">
      <c r="A92" s="18">
        <f>IF(B92="","","A"&amp;TEXT(ROW()-1,"000"))</f>
        <v/>
      </c>
      <c r="I92" s="19" t="n"/>
      <c r="N92" s="18">
        <f>IF(A92="","",SUMIFS(Ventas!$F:$F,Ventas!$C:$C,A92))</f>
        <v/>
      </c>
      <c r="O92" s="18">
        <f>IF(A92="","",SUMIFS(Clases!$I:$I,Clases!$C:$C,A92,Clases!$J:$J,"&lt;&gt;Reprogramada"))</f>
        <v/>
      </c>
      <c r="P92" s="18">
        <f>IF(A92="","",N92-O92)</f>
        <v/>
      </c>
      <c r="Q92" s="20">
        <f>IF(A92="","",SUMIFS(Ventas!$I:$I,Ventas!$C:$C,A92))</f>
        <v/>
      </c>
      <c r="R92" s="20">
        <f>IF(A92="","",SUMIFS(Pagos!$E:$E,Pagos!$C:$C,A92))</f>
        <v/>
      </c>
      <c r="S92" s="20">
        <f>IF(A92="","",Q92-R92)</f>
        <v/>
      </c>
    </row>
    <row r="93">
      <c r="A93" s="18">
        <f>IF(B93="","","A"&amp;TEXT(ROW()-1,"000"))</f>
        <v/>
      </c>
      <c r="I93" s="19" t="n"/>
      <c r="N93" s="18">
        <f>IF(A93="","",SUMIFS(Ventas!$F:$F,Ventas!$C:$C,A93))</f>
        <v/>
      </c>
      <c r="O93" s="18">
        <f>IF(A93="","",SUMIFS(Clases!$I:$I,Clases!$C:$C,A93,Clases!$J:$J,"&lt;&gt;Reprogramada"))</f>
        <v/>
      </c>
      <c r="P93" s="18">
        <f>IF(A93="","",N93-O93)</f>
        <v/>
      </c>
      <c r="Q93" s="20">
        <f>IF(A93="","",SUMIFS(Ventas!$I:$I,Ventas!$C:$C,A93))</f>
        <v/>
      </c>
      <c r="R93" s="20">
        <f>IF(A93="","",SUMIFS(Pagos!$E:$E,Pagos!$C:$C,A93))</f>
        <v/>
      </c>
      <c r="S93" s="20">
        <f>IF(A93="","",Q93-R93)</f>
        <v/>
      </c>
    </row>
    <row r="94">
      <c r="A94" s="18">
        <f>IF(B94="","","A"&amp;TEXT(ROW()-1,"000"))</f>
        <v/>
      </c>
      <c r="I94" s="19" t="n"/>
      <c r="N94" s="18">
        <f>IF(A94="","",SUMIFS(Ventas!$F:$F,Ventas!$C:$C,A94))</f>
        <v/>
      </c>
      <c r="O94" s="18">
        <f>IF(A94="","",SUMIFS(Clases!$I:$I,Clases!$C:$C,A94,Clases!$J:$J,"&lt;&gt;Reprogramada"))</f>
        <v/>
      </c>
      <c r="P94" s="18">
        <f>IF(A94="","",N94-O94)</f>
        <v/>
      </c>
      <c r="Q94" s="20">
        <f>IF(A94="","",SUMIFS(Ventas!$I:$I,Ventas!$C:$C,A94))</f>
        <v/>
      </c>
      <c r="R94" s="20">
        <f>IF(A94="","",SUMIFS(Pagos!$E:$E,Pagos!$C:$C,A94))</f>
        <v/>
      </c>
      <c r="S94" s="20">
        <f>IF(A94="","",Q94-R94)</f>
        <v/>
      </c>
    </row>
    <row r="95">
      <c r="A95" s="18">
        <f>IF(B95="","","A"&amp;TEXT(ROW()-1,"000"))</f>
        <v/>
      </c>
      <c r="I95" s="19" t="n"/>
      <c r="N95" s="18">
        <f>IF(A95="","",SUMIFS(Ventas!$F:$F,Ventas!$C:$C,A95))</f>
        <v/>
      </c>
      <c r="O95" s="18">
        <f>IF(A95="","",SUMIFS(Clases!$I:$I,Clases!$C:$C,A95,Clases!$J:$J,"&lt;&gt;Reprogramada"))</f>
        <v/>
      </c>
      <c r="P95" s="18">
        <f>IF(A95="","",N95-O95)</f>
        <v/>
      </c>
      <c r="Q95" s="20">
        <f>IF(A95="","",SUMIFS(Ventas!$I:$I,Ventas!$C:$C,A95))</f>
        <v/>
      </c>
      <c r="R95" s="20">
        <f>IF(A95="","",SUMIFS(Pagos!$E:$E,Pagos!$C:$C,A95))</f>
        <v/>
      </c>
      <c r="S95" s="20">
        <f>IF(A95="","",Q95-R95)</f>
        <v/>
      </c>
    </row>
    <row r="96">
      <c r="A96" s="18">
        <f>IF(B96="","","A"&amp;TEXT(ROW()-1,"000"))</f>
        <v/>
      </c>
      <c r="I96" s="19" t="n"/>
      <c r="N96" s="18">
        <f>IF(A96="","",SUMIFS(Ventas!$F:$F,Ventas!$C:$C,A96))</f>
        <v/>
      </c>
      <c r="O96" s="18">
        <f>IF(A96="","",SUMIFS(Clases!$I:$I,Clases!$C:$C,A96,Clases!$J:$J,"&lt;&gt;Reprogramada"))</f>
        <v/>
      </c>
      <c r="P96" s="18">
        <f>IF(A96="","",N96-O96)</f>
        <v/>
      </c>
      <c r="Q96" s="20">
        <f>IF(A96="","",SUMIFS(Ventas!$I:$I,Ventas!$C:$C,A96))</f>
        <v/>
      </c>
      <c r="R96" s="20">
        <f>IF(A96="","",SUMIFS(Pagos!$E:$E,Pagos!$C:$C,A96))</f>
        <v/>
      </c>
      <c r="S96" s="20">
        <f>IF(A96="","",Q96-R96)</f>
        <v/>
      </c>
    </row>
    <row r="97">
      <c r="A97" s="18">
        <f>IF(B97="","","A"&amp;TEXT(ROW()-1,"000"))</f>
        <v/>
      </c>
      <c r="I97" s="19" t="n"/>
      <c r="N97" s="18">
        <f>IF(A97="","",SUMIFS(Ventas!$F:$F,Ventas!$C:$C,A97))</f>
        <v/>
      </c>
      <c r="O97" s="18">
        <f>IF(A97="","",SUMIFS(Clases!$I:$I,Clases!$C:$C,A97,Clases!$J:$J,"&lt;&gt;Reprogramada"))</f>
        <v/>
      </c>
      <c r="P97" s="18">
        <f>IF(A97="","",N97-O97)</f>
        <v/>
      </c>
      <c r="Q97" s="20">
        <f>IF(A97="","",SUMIFS(Ventas!$I:$I,Ventas!$C:$C,A97))</f>
        <v/>
      </c>
      <c r="R97" s="20">
        <f>IF(A97="","",SUMIFS(Pagos!$E:$E,Pagos!$C:$C,A97))</f>
        <v/>
      </c>
      <c r="S97" s="20">
        <f>IF(A97="","",Q97-R97)</f>
        <v/>
      </c>
    </row>
    <row r="98">
      <c r="A98" s="18">
        <f>IF(B98="","","A"&amp;TEXT(ROW()-1,"000"))</f>
        <v/>
      </c>
      <c r="I98" s="19" t="n"/>
      <c r="N98" s="18">
        <f>IF(A98="","",SUMIFS(Ventas!$F:$F,Ventas!$C:$C,A98))</f>
        <v/>
      </c>
      <c r="O98" s="18">
        <f>IF(A98="","",SUMIFS(Clases!$I:$I,Clases!$C:$C,A98,Clases!$J:$J,"&lt;&gt;Reprogramada"))</f>
        <v/>
      </c>
      <c r="P98" s="18">
        <f>IF(A98="","",N98-O98)</f>
        <v/>
      </c>
      <c r="Q98" s="20">
        <f>IF(A98="","",SUMIFS(Ventas!$I:$I,Ventas!$C:$C,A98))</f>
        <v/>
      </c>
      <c r="R98" s="20">
        <f>IF(A98="","",SUMIFS(Pagos!$E:$E,Pagos!$C:$C,A98))</f>
        <v/>
      </c>
      <c r="S98" s="20">
        <f>IF(A98="","",Q98-R98)</f>
        <v/>
      </c>
    </row>
    <row r="99">
      <c r="A99" s="18">
        <f>IF(B99="","","A"&amp;TEXT(ROW()-1,"000"))</f>
        <v/>
      </c>
      <c r="I99" s="19" t="n"/>
      <c r="N99" s="18">
        <f>IF(A99="","",SUMIFS(Ventas!$F:$F,Ventas!$C:$C,A99))</f>
        <v/>
      </c>
      <c r="O99" s="18">
        <f>IF(A99="","",SUMIFS(Clases!$I:$I,Clases!$C:$C,A99,Clases!$J:$J,"&lt;&gt;Reprogramada"))</f>
        <v/>
      </c>
      <c r="P99" s="18">
        <f>IF(A99="","",N99-O99)</f>
        <v/>
      </c>
      <c r="Q99" s="20">
        <f>IF(A99="","",SUMIFS(Ventas!$I:$I,Ventas!$C:$C,A99))</f>
        <v/>
      </c>
      <c r="R99" s="20">
        <f>IF(A99="","",SUMIFS(Pagos!$E:$E,Pagos!$C:$C,A99))</f>
        <v/>
      </c>
      <c r="S99" s="20">
        <f>IF(A99="","",Q99-R99)</f>
        <v/>
      </c>
    </row>
    <row r="100">
      <c r="A100" s="18">
        <f>IF(B100="","","A"&amp;TEXT(ROW()-1,"000"))</f>
        <v/>
      </c>
      <c r="I100" s="19" t="n"/>
      <c r="N100" s="18">
        <f>IF(A100="","",SUMIFS(Ventas!$F:$F,Ventas!$C:$C,A100))</f>
        <v/>
      </c>
      <c r="O100" s="18">
        <f>IF(A100="","",SUMIFS(Clases!$I:$I,Clases!$C:$C,A100,Clases!$J:$J,"&lt;&gt;Reprogramada"))</f>
        <v/>
      </c>
      <c r="P100" s="18">
        <f>IF(A100="","",N100-O100)</f>
        <v/>
      </c>
      <c r="Q100" s="20">
        <f>IF(A100="","",SUMIFS(Ventas!$I:$I,Ventas!$C:$C,A100))</f>
        <v/>
      </c>
      <c r="R100" s="20">
        <f>IF(A100="","",SUMIFS(Pagos!$E:$E,Pagos!$C:$C,A100))</f>
        <v/>
      </c>
      <c r="S100" s="20">
        <f>IF(A100="","",Q100-R100)</f>
        <v/>
      </c>
    </row>
    <row r="101">
      <c r="A101" s="18">
        <f>IF(B101="","","A"&amp;TEXT(ROW()-1,"000"))</f>
        <v/>
      </c>
      <c r="I101" s="19" t="n"/>
      <c r="N101" s="18">
        <f>IF(A101="","",SUMIFS(Ventas!$F:$F,Ventas!$C:$C,A101))</f>
        <v/>
      </c>
      <c r="O101" s="18">
        <f>IF(A101="","",SUMIFS(Clases!$I:$I,Clases!$C:$C,A101,Clases!$J:$J,"&lt;&gt;Reprogramada"))</f>
        <v/>
      </c>
      <c r="P101" s="18">
        <f>IF(A101="","",N101-O101)</f>
        <v/>
      </c>
      <c r="Q101" s="20">
        <f>IF(A101="","",SUMIFS(Ventas!$I:$I,Ventas!$C:$C,A101))</f>
        <v/>
      </c>
      <c r="R101" s="20">
        <f>IF(A101="","",SUMIFS(Pagos!$E:$E,Pagos!$C:$C,A101))</f>
        <v/>
      </c>
      <c r="S101" s="20">
        <f>IF(A101="","",Q101-R101)</f>
        <v/>
      </c>
    </row>
    <row r="102">
      <c r="A102" s="18">
        <f>IF(B102="","","A"&amp;TEXT(ROW()-1,"000"))</f>
        <v/>
      </c>
      <c r="I102" s="19" t="n"/>
      <c r="N102" s="18">
        <f>IF(A102="","",SUMIFS(Ventas!$F:$F,Ventas!$C:$C,A102))</f>
        <v/>
      </c>
      <c r="O102" s="18">
        <f>IF(A102="","",SUMIFS(Clases!$I:$I,Clases!$C:$C,A102,Clases!$J:$J,"&lt;&gt;Reprogramada"))</f>
        <v/>
      </c>
      <c r="P102" s="18">
        <f>IF(A102="","",N102-O102)</f>
        <v/>
      </c>
      <c r="Q102" s="20">
        <f>IF(A102="","",SUMIFS(Ventas!$I:$I,Ventas!$C:$C,A102))</f>
        <v/>
      </c>
      <c r="R102" s="20">
        <f>IF(A102="","",SUMIFS(Pagos!$E:$E,Pagos!$C:$C,A102))</f>
        <v/>
      </c>
      <c r="S102" s="20">
        <f>IF(A102="","",Q102-R102)</f>
        <v/>
      </c>
    </row>
    <row r="103">
      <c r="A103" s="18">
        <f>IF(B103="","","A"&amp;TEXT(ROW()-1,"000"))</f>
        <v/>
      </c>
      <c r="I103" s="19" t="n"/>
      <c r="N103" s="18">
        <f>IF(A103="","",SUMIFS(Ventas!$F:$F,Ventas!$C:$C,A103))</f>
        <v/>
      </c>
      <c r="O103" s="18">
        <f>IF(A103="","",SUMIFS(Clases!$I:$I,Clases!$C:$C,A103,Clases!$J:$J,"&lt;&gt;Reprogramada"))</f>
        <v/>
      </c>
      <c r="P103" s="18">
        <f>IF(A103="","",N103-O103)</f>
        <v/>
      </c>
      <c r="Q103" s="20">
        <f>IF(A103="","",SUMIFS(Ventas!$I:$I,Ventas!$C:$C,A103))</f>
        <v/>
      </c>
      <c r="R103" s="20">
        <f>IF(A103="","",SUMIFS(Pagos!$E:$E,Pagos!$C:$C,A103))</f>
        <v/>
      </c>
      <c r="S103" s="20">
        <f>IF(A103="","",Q103-R103)</f>
        <v/>
      </c>
    </row>
    <row r="104">
      <c r="A104" s="18">
        <f>IF(B104="","","A"&amp;TEXT(ROW()-1,"000"))</f>
        <v/>
      </c>
      <c r="I104" s="19" t="n"/>
      <c r="N104" s="18">
        <f>IF(A104="","",SUMIFS(Ventas!$F:$F,Ventas!$C:$C,A104))</f>
        <v/>
      </c>
      <c r="O104" s="18">
        <f>IF(A104="","",SUMIFS(Clases!$I:$I,Clases!$C:$C,A104,Clases!$J:$J,"&lt;&gt;Reprogramada"))</f>
        <v/>
      </c>
      <c r="P104" s="18">
        <f>IF(A104="","",N104-O104)</f>
        <v/>
      </c>
      <c r="Q104" s="20">
        <f>IF(A104="","",SUMIFS(Ventas!$I:$I,Ventas!$C:$C,A104))</f>
        <v/>
      </c>
      <c r="R104" s="20">
        <f>IF(A104="","",SUMIFS(Pagos!$E:$E,Pagos!$C:$C,A104))</f>
        <v/>
      </c>
      <c r="S104" s="20">
        <f>IF(A104="","",Q104-R104)</f>
        <v/>
      </c>
    </row>
    <row r="105">
      <c r="A105" s="18">
        <f>IF(B105="","","A"&amp;TEXT(ROW()-1,"000"))</f>
        <v/>
      </c>
      <c r="I105" s="19" t="n"/>
      <c r="N105" s="18">
        <f>IF(A105="","",SUMIFS(Ventas!$F:$F,Ventas!$C:$C,A105))</f>
        <v/>
      </c>
      <c r="O105" s="18">
        <f>IF(A105="","",SUMIFS(Clases!$I:$I,Clases!$C:$C,A105,Clases!$J:$J,"&lt;&gt;Reprogramada"))</f>
        <v/>
      </c>
      <c r="P105" s="18">
        <f>IF(A105="","",N105-O105)</f>
        <v/>
      </c>
      <c r="Q105" s="20">
        <f>IF(A105="","",SUMIFS(Ventas!$I:$I,Ventas!$C:$C,A105))</f>
        <v/>
      </c>
      <c r="R105" s="20">
        <f>IF(A105="","",SUMIFS(Pagos!$E:$E,Pagos!$C:$C,A105))</f>
        <v/>
      </c>
      <c r="S105" s="20">
        <f>IF(A105="","",Q105-R105)</f>
        <v/>
      </c>
    </row>
    <row r="106">
      <c r="A106" s="18">
        <f>IF(B106="","","A"&amp;TEXT(ROW()-1,"000"))</f>
        <v/>
      </c>
      <c r="I106" s="19" t="n"/>
      <c r="N106" s="18">
        <f>IF(A106="","",SUMIFS(Ventas!$F:$F,Ventas!$C:$C,A106))</f>
        <v/>
      </c>
      <c r="O106" s="18">
        <f>IF(A106="","",SUMIFS(Clases!$I:$I,Clases!$C:$C,A106,Clases!$J:$J,"&lt;&gt;Reprogramada"))</f>
        <v/>
      </c>
      <c r="P106" s="18">
        <f>IF(A106="","",N106-O106)</f>
        <v/>
      </c>
      <c r="Q106" s="20">
        <f>IF(A106="","",SUMIFS(Ventas!$I:$I,Ventas!$C:$C,A106))</f>
        <v/>
      </c>
      <c r="R106" s="20">
        <f>IF(A106="","",SUMIFS(Pagos!$E:$E,Pagos!$C:$C,A106))</f>
        <v/>
      </c>
      <c r="S106" s="20">
        <f>IF(A106="","",Q106-R106)</f>
        <v/>
      </c>
    </row>
    <row r="107">
      <c r="A107" s="18">
        <f>IF(B107="","","A"&amp;TEXT(ROW()-1,"000"))</f>
        <v/>
      </c>
      <c r="I107" s="19" t="n"/>
      <c r="N107" s="18">
        <f>IF(A107="","",SUMIFS(Ventas!$F:$F,Ventas!$C:$C,A107))</f>
        <v/>
      </c>
      <c r="O107" s="18">
        <f>IF(A107="","",SUMIFS(Clases!$I:$I,Clases!$C:$C,A107,Clases!$J:$J,"&lt;&gt;Reprogramada"))</f>
        <v/>
      </c>
      <c r="P107" s="18">
        <f>IF(A107="","",N107-O107)</f>
        <v/>
      </c>
      <c r="Q107" s="20">
        <f>IF(A107="","",SUMIFS(Ventas!$I:$I,Ventas!$C:$C,A107))</f>
        <v/>
      </c>
      <c r="R107" s="20">
        <f>IF(A107="","",SUMIFS(Pagos!$E:$E,Pagos!$C:$C,A107))</f>
        <v/>
      </c>
      <c r="S107" s="20">
        <f>IF(A107="","",Q107-R107)</f>
        <v/>
      </c>
    </row>
    <row r="108">
      <c r="A108" s="18">
        <f>IF(B108="","","A"&amp;TEXT(ROW()-1,"000"))</f>
        <v/>
      </c>
      <c r="I108" s="19" t="n"/>
      <c r="N108" s="18">
        <f>IF(A108="","",SUMIFS(Ventas!$F:$F,Ventas!$C:$C,A108))</f>
        <v/>
      </c>
      <c r="O108" s="18">
        <f>IF(A108="","",SUMIFS(Clases!$I:$I,Clases!$C:$C,A108,Clases!$J:$J,"&lt;&gt;Reprogramada"))</f>
        <v/>
      </c>
      <c r="P108" s="18">
        <f>IF(A108="","",N108-O108)</f>
        <v/>
      </c>
      <c r="Q108" s="20">
        <f>IF(A108="","",SUMIFS(Ventas!$I:$I,Ventas!$C:$C,A108))</f>
        <v/>
      </c>
      <c r="R108" s="20">
        <f>IF(A108="","",SUMIFS(Pagos!$E:$E,Pagos!$C:$C,A108))</f>
        <v/>
      </c>
      <c r="S108" s="20">
        <f>IF(A108="","",Q108-R108)</f>
        <v/>
      </c>
    </row>
    <row r="109">
      <c r="A109" s="18">
        <f>IF(B109="","","A"&amp;TEXT(ROW()-1,"000"))</f>
        <v/>
      </c>
      <c r="I109" s="19" t="n"/>
      <c r="N109" s="18">
        <f>IF(A109="","",SUMIFS(Ventas!$F:$F,Ventas!$C:$C,A109))</f>
        <v/>
      </c>
      <c r="O109" s="18">
        <f>IF(A109="","",SUMIFS(Clases!$I:$I,Clases!$C:$C,A109,Clases!$J:$J,"&lt;&gt;Reprogramada"))</f>
        <v/>
      </c>
      <c r="P109" s="18">
        <f>IF(A109="","",N109-O109)</f>
        <v/>
      </c>
      <c r="Q109" s="20">
        <f>IF(A109="","",SUMIFS(Ventas!$I:$I,Ventas!$C:$C,A109))</f>
        <v/>
      </c>
      <c r="R109" s="20">
        <f>IF(A109="","",SUMIFS(Pagos!$E:$E,Pagos!$C:$C,A109))</f>
        <v/>
      </c>
      <c r="S109" s="20">
        <f>IF(A109="","",Q109-R109)</f>
        <v/>
      </c>
    </row>
    <row r="110">
      <c r="A110" s="18">
        <f>IF(B110="","","A"&amp;TEXT(ROW()-1,"000"))</f>
        <v/>
      </c>
      <c r="I110" s="19" t="n"/>
      <c r="N110" s="18">
        <f>IF(A110="","",SUMIFS(Ventas!$F:$F,Ventas!$C:$C,A110))</f>
        <v/>
      </c>
      <c r="O110" s="18">
        <f>IF(A110="","",SUMIFS(Clases!$I:$I,Clases!$C:$C,A110,Clases!$J:$J,"&lt;&gt;Reprogramada"))</f>
        <v/>
      </c>
      <c r="P110" s="18">
        <f>IF(A110="","",N110-O110)</f>
        <v/>
      </c>
      <c r="Q110" s="20">
        <f>IF(A110="","",SUMIFS(Ventas!$I:$I,Ventas!$C:$C,A110))</f>
        <v/>
      </c>
      <c r="R110" s="20">
        <f>IF(A110="","",SUMIFS(Pagos!$E:$E,Pagos!$C:$C,A110))</f>
        <v/>
      </c>
      <c r="S110" s="20">
        <f>IF(A110="","",Q110-R110)</f>
        <v/>
      </c>
    </row>
    <row r="111">
      <c r="A111" s="18">
        <f>IF(B111="","","A"&amp;TEXT(ROW()-1,"000"))</f>
        <v/>
      </c>
      <c r="I111" s="19" t="n"/>
      <c r="N111" s="18">
        <f>IF(A111="","",SUMIFS(Ventas!$F:$F,Ventas!$C:$C,A111))</f>
        <v/>
      </c>
      <c r="O111" s="18">
        <f>IF(A111="","",SUMIFS(Clases!$I:$I,Clases!$C:$C,A111,Clases!$J:$J,"&lt;&gt;Reprogramada"))</f>
        <v/>
      </c>
      <c r="P111" s="18">
        <f>IF(A111="","",N111-O111)</f>
        <v/>
      </c>
      <c r="Q111" s="20">
        <f>IF(A111="","",SUMIFS(Ventas!$I:$I,Ventas!$C:$C,A111))</f>
        <v/>
      </c>
      <c r="R111" s="20">
        <f>IF(A111="","",SUMIFS(Pagos!$E:$E,Pagos!$C:$C,A111))</f>
        <v/>
      </c>
      <c r="S111" s="20">
        <f>IF(A111="","",Q111-R111)</f>
        <v/>
      </c>
    </row>
    <row r="112">
      <c r="A112" s="18">
        <f>IF(B112="","","A"&amp;TEXT(ROW()-1,"000"))</f>
        <v/>
      </c>
      <c r="I112" s="19" t="n"/>
      <c r="N112" s="18">
        <f>IF(A112="","",SUMIFS(Ventas!$F:$F,Ventas!$C:$C,A112))</f>
        <v/>
      </c>
      <c r="O112" s="18">
        <f>IF(A112="","",SUMIFS(Clases!$I:$I,Clases!$C:$C,A112,Clases!$J:$J,"&lt;&gt;Reprogramada"))</f>
        <v/>
      </c>
      <c r="P112" s="18">
        <f>IF(A112="","",N112-O112)</f>
        <v/>
      </c>
      <c r="Q112" s="20">
        <f>IF(A112="","",SUMIFS(Ventas!$I:$I,Ventas!$C:$C,A112))</f>
        <v/>
      </c>
      <c r="R112" s="20">
        <f>IF(A112="","",SUMIFS(Pagos!$E:$E,Pagos!$C:$C,A112))</f>
        <v/>
      </c>
      <c r="S112" s="20">
        <f>IF(A112="","",Q112-R112)</f>
        <v/>
      </c>
    </row>
    <row r="113">
      <c r="A113" s="18">
        <f>IF(B113="","","A"&amp;TEXT(ROW()-1,"000"))</f>
        <v/>
      </c>
      <c r="I113" s="19" t="n"/>
      <c r="N113" s="18">
        <f>IF(A113="","",SUMIFS(Ventas!$F:$F,Ventas!$C:$C,A113))</f>
        <v/>
      </c>
      <c r="O113" s="18">
        <f>IF(A113="","",SUMIFS(Clases!$I:$I,Clases!$C:$C,A113,Clases!$J:$J,"&lt;&gt;Reprogramada"))</f>
        <v/>
      </c>
      <c r="P113" s="18">
        <f>IF(A113="","",N113-O113)</f>
        <v/>
      </c>
      <c r="Q113" s="20">
        <f>IF(A113="","",SUMIFS(Ventas!$I:$I,Ventas!$C:$C,A113))</f>
        <v/>
      </c>
      <c r="R113" s="20">
        <f>IF(A113="","",SUMIFS(Pagos!$E:$E,Pagos!$C:$C,A113))</f>
        <v/>
      </c>
      <c r="S113" s="20">
        <f>IF(A113="","",Q113-R113)</f>
        <v/>
      </c>
    </row>
    <row r="114">
      <c r="A114" s="18">
        <f>IF(B114="","","A"&amp;TEXT(ROW()-1,"000"))</f>
        <v/>
      </c>
      <c r="I114" s="19" t="n"/>
      <c r="N114" s="18">
        <f>IF(A114="","",SUMIFS(Ventas!$F:$F,Ventas!$C:$C,A114))</f>
        <v/>
      </c>
      <c r="O114" s="18">
        <f>IF(A114="","",SUMIFS(Clases!$I:$I,Clases!$C:$C,A114,Clases!$J:$J,"&lt;&gt;Reprogramada"))</f>
        <v/>
      </c>
      <c r="P114" s="18">
        <f>IF(A114="","",N114-O114)</f>
        <v/>
      </c>
      <c r="Q114" s="20">
        <f>IF(A114="","",SUMIFS(Ventas!$I:$I,Ventas!$C:$C,A114))</f>
        <v/>
      </c>
      <c r="R114" s="20">
        <f>IF(A114="","",SUMIFS(Pagos!$E:$E,Pagos!$C:$C,A114))</f>
        <v/>
      </c>
      <c r="S114" s="20">
        <f>IF(A114="","",Q114-R114)</f>
        <v/>
      </c>
    </row>
    <row r="115">
      <c r="A115" s="18">
        <f>IF(B115="","","A"&amp;TEXT(ROW()-1,"000"))</f>
        <v/>
      </c>
      <c r="I115" s="19" t="n"/>
      <c r="N115" s="18">
        <f>IF(A115="","",SUMIFS(Ventas!$F:$F,Ventas!$C:$C,A115))</f>
        <v/>
      </c>
      <c r="O115" s="18">
        <f>IF(A115="","",SUMIFS(Clases!$I:$I,Clases!$C:$C,A115,Clases!$J:$J,"&lt;&gt;Reprogramada"))</f>
        <v/>
      </c>
      <c r="P115" s="18">
        <f>IF(A115="","",N115-O115)</f>
        <v/>
      </c>
      <c r="Q115" s="20">
        <f>IF(A115="","",SUMIFS(Ventas!$I:$I,Ventas!$C:$C,A115))</f>
        <v/>
      </c>
      <c r="R115" s="20">
        <f>IF(A115="","",SUMIFS(Pagos!$E:$E,Pagos!$C:$C,A115))</f>
        <v/>
      </c>
      <c r="S115" s="20">
        <f>IF(A115="","",Q115-R115)</f>
        <v/>
      </c>
    </row>
    <row r="116">
      <c r="A116" s="18">
        <f>IF(B116="","","A"&amp;TEXT(ROW()-1,"000"))</f>
        <v/>
      </c>
      <c r="I116" s="19" t="n"/>
      <c r="N116" s="18">
        <f>IF(A116="","",SUMIFS(Ventas!$F:$F,Ventas!$C:$C,A116))</f>
        <v/>
      </c>
      <c r="O116" s="18">
        <f>IF(A116="","",SUMIFS(Clases!$I:$I,Clases!$C:$C,A116,Clases!$J:$J,"&lt;&gt;Reprogramada"))</f>
        <v/>
      </c>
      <c r="P116" s="18">
        <f>IF(A116="","",N116-O116)</f>
        <v/>
      </c>
      <c r="Q116" s="20">
        <f>IF(A116="","",SUMIFS(Ventas!$I:$I,Ventas!$C:$C,A116))</f>
        <v/>
      </c>
      <c r="R116" s="20">
        <f>IF(A116="","",SUMIFS(Pagos!$E:$E,Pagos!$C:$C,A116))</f>
        <v/>
      </c>
      <c r="S116" s="20">
        <f>IF(A116="","",Q116-R116)</f>
        <v/>
      </c>
    </row>
    <row r="117">
      <c r="A117" s="18">
        <f>IF(B117="","","A"&amp;TEXT(ROW()-1,"000"))</f>
        <v/>
      </c>
      <c r="I117" s="19" t="n"/>
      <c r="N117" s="18">
        <f>IF(A117="","",SUMIFS(Ventas!$F:$F,Ventas!$C:$C,A117))</f>
        <v/>
      </c>
      <c r="O117" s="18">
        <f>IF(A117="","",SUMIFS(Clases!$I:$I,Clases!$C:$C,A117,Clases!$J:$J,"&lt;&gt;Reprogramada"))</f>
        <v/>
      </c>
      <c r="P117" s="18">
        <f>IF(A117="","",N117-O117)</f>
        <v/>
      </c>
      <c r="Q117" s="20">
        <f>IF(A117="","",SUMIFS(Ventas!$I:$I,Ventas!$C:$C,A117))</f>
        <v/>
      </c>
      <c r="R117" s="20">
        <f>IF(A117="","",SUMIFS(Pagos!$E:$E,Pagos!$C:$C,A117))</f>
        <v/>
      </c>
      <c r="S117" s="20">
        <f>IF(A117="","",Q117-R117)</f>
        <v/>
      </c>
    </row>
    <row r="118">
      <c r="A118" s="18">
        <f>IF(B118="","","A"&amp;TEXT(ROW()-1,"000"))</f>
        <v/>
      </c>
      <c r="I118" s="19" t="n"/>
      <c r="N118" s="18">
        <f>IF(A118="","",SUMIFS(Ventas!$F:$F,Ventas!$C:$C,A118))</f>
        <v/>
      </c>
      <c r="O118" s="18">
        <f>IF(A118="","",SUMIFS(Clases!$I:$I,Clases!$C:$C,A118,Clases!$J:$J,"&lt;&gt;Reprogramada"))</f>
        <v/>
      </c>
      <c r="P118" s="18">
        <f>IF(A118="","",N118-O118)</f>
        <v/>
      </c>
      <c r="Q118" s="20">
        <f>IF(A118="","",SUMIFS(Ventas!$I:$I,Ventas!$C:$C,A118))</f>
        <v/>
      </c>
      <c r="R118" s="20">
        <f>IF(A118="","",SUMIFS(Pagos!$E:$E,Pagos!$C:$C,A118))</f>
        <v/>
      </c>
      <c r="S118" s="20">
        <f>IF(A118="","",Q118-R118)</f>
        <v/>
      </c>
    </row>
    <row r="119">
      <c r="A119" s="18">
        <f>IF(B119="","","A"&amp;TEXT(ROW()-1,"000"))</f>
        <v/>
      </c>
      <c r="I119" s="19" t="n"/>
      <c r="N119" s="18">
        <f>IF(A119="","",SUMIFS(Ventas!$F:$F,Ventas!$C:$C,A119))</f>
        <v/>
      </c>
      <c r="O119" s="18">
        <f>IF(A119="","",SUMIFS(Clases!$I:$I,Clases!$C:$C,A119,Clases!$J:$J,"&lt;&gt;Reprogramada"))</f>
        <v/>
      </c>
      <c r="P119" s="18">
        <f>IF(A119="","",N119-O119)</f>
        <v/>
      </c>
      <c r="Q119" s="20">
        <f>IF(A119="","",SUMIFS(Ventas!$I:$I,Ventas!$C:$C,A119))</f>
        <v/>
      </c>
      <c r="R119" s="20">
        <f>IF(A119="","",SUMIFS(Pagos!$E:$E,Pagos!$C:$C,A119))</f>
        <v/>
      </c>
      <c r="S119" s="20">
        <f>IF(A119="","",Q119-R119)</f>
        <v/>
      </c>
    </row>
    <row r="120">
      <c r="A120" s="18">
        <f>IF(B120="","","A"&amp;TEXT(ROW()-1,"000"))</f>
        <v/>
      </c>
      <c r="I120" s="19" t="n"/>
      <c r="N120" s="18">
        <f>IF(A120="","",SUMIFS(Ventas!$F:$F,Ventas!$C:$C,A120))</f>
        <v/>
      </c>
      <c r="O120" s="18">
        <f>IF(A120="","",SUMIFS(Clases!$I:$I,Clases!$C:$C,A120,Clases!$J:$J,"&lt;&gt;Reprogramada"))</f>
        <v/>
      </c>
      <c r="P120" s="18">
        <f>IF(A120="","",N120-O120)</f>
        <v/>
      </c>
      <c r="Q120" s="20">
        <f>IF(A120="","",SUMIFS(Ventas!$I:$I,Ventas!$C:$C,A120))</f>
        <v/>
      </c>
      <c r="R120" s="20">
        <f>IF(A120="","",SUMIFS(Pagos!$E:$E,Pagos!$C:$C,A120))</f>
        <v/>
      </c>
      <c r="S120" s="20">
        <f>IF(A120="","",Q120-R120)</f>
        <v/>
      </c>
    </row>
    <row r="121">
      <c r="A121" s="18">
        <f>IF(B121="","","A"&amp;TEXT(ROW()-1,"000"))</f>
        <v/>
      </c>
      <c r="I121" s="19" t="n"/>
      <c r="N121" s="18">
        <f>IF(A121="","",SUMIFS(Ventas!$F:$F,Ventas!$C:$C,A121))</f>
        <v/>
      </c>
      <c r="O121" s="18">
        <f>IF(A121="","",SUMIFS(Clases!$I:$I,Clases!$C:$C,A121,Clases!$J:$J,"&lt;&gt;Reprogramada"))</f>
        <v/>
      </c>
      <c r="P121" s="18">
        <f>IF(A121="","",N121-O121)</f>
        <v/>
      </c>
      <c r="Q121" s="20">
        <f>IF(A121="","",SUMIFS(Ventas!$I:$I,Ventas!$C:$C,A121))</f>
        <v/>
      </c>
      <c r="R121" s="20">
        <f>IF(A121="","",SUMIFS(Pagos!$E:$E,Pagos!$C:$C,A121))</f>
        <v/>
      </c>
      <c r="S121" s="20">
        <f>IF(A121="","",Q121-R121)</f>
        <v/>
      </c>
    </row>
    <row r="122">
      <c r="A122" s="18">
        <f>IF(B122="","","A"&amp;TEXT(ROW()-1,"000"))</f>
        <v/>
      </c>
      <c r="I122" s="19" t="n"/>
      <c r="N122" s="18">
        <f>IF(A122="","",SUMIFS(Ventas!$F:$F,Ventas!$C:$C,A122))</f>
        <v/>
      </c>
      <c r="O122" s="18">
        <f>IF(A122="","",SUMIFS(Clases!$I:$I,Clases!$C:$C,A122,Clases!$J:$J,"&lt;&gt;Reprogramada"))</f>
        <v/>
      </c>
      <c r="P122" s="18">
        <f>IF(A122="","",N122-O122)</f>
        <v/>
      </c>
      <c r="Q122" s="20">
        <f>IF(A122="","",SUMIFS(Ventas!$I:$I,Ventas!$C:$C,A122))</f>
        <v/>
      </c>
      <c r="R122" s="20">
        <f>IF(A122="","",SUMIFS(Pagos!$E:$E,Pagos!$C:$C,A122))</f>
        <v/>
      </c>
      <c r="S122" s="20">
        <f>IF(A122="","",Q122-R122)</f>
        <v/>
      </c>
    </row>
    <row r="123">
      <c r="A123" s="18">
        <f>IF(B123="","","A"&amp;TEXT(ROW()-1,"000"))</f>
        <v/>
      </c>
      <c r="I123" s="19" t="n"/>
      <c r="N123" s="18">
        <f>IF(A123="","",SUMIFS(Ventas!$F:$F,Ventas!$C:$C,A123))</f>
        <v/>
      </c>
      <c r="O123" s="18">
        <f>IF(A123="","",SUMIFS(Clases!$I:$I,Clases!$C:$C,A123,Clases!$J:$J,"&lt;&gt;Reprogramada"))</f>
        <v/>
      </c>
      <c r="P123" s="18">
        <f>IF(A123="","",N123-O123)</f>
        <v/>
      </c>
      <c r="Q123" s="20">
        <f>IF(A123="","",SUMIFS(Ventas!$I:$I,Ventas!$C:$C,A123))</f>
        <v/>
      </c>
      <c r="R123" s="20">
        <f>IF(A123="","",SUMIFS(Pagos!$E:$E,Pagos!$C:$C,A123))</f>
        <v/>
      </c>
      <c r="S123" s="20">
        <f>IF(A123="","",Q123-R123)</f>
        <v/>
      </c>
    </row>
    <row r="124">
      <c r="A124" s="18">
        <f>IF(B124="","","A"&amp;TEXT(ROW()-1,"000"))</f>
        <v/>
      </c>
      <c r="I124" s="19" t="n"/>
      <c r="N124" s="18">
        <f>IF(A124="","",SUMIFS(Ventas!$F:$F,Ventas!$C:$C,A124))</f>
        <v/>
      </c>
      <c r="O124" s="18">
        <f>IF(A124="","",SUMIFS(Clases!$I:$I,Clases!$C:$C,A124,Clases!$J:$J,"&lt;&gt;Reprogramada"))</f>
        <v/>
      </c>
      <c r="P124" s="18">
        <f>IF(A124="","",N124-O124)</f>
        <v/>
      </c>
      <c r="Q124" s="20">
        <f>IF(A124="","",SUMIFS(Ventas!$I:$I,Ventas!$C:$C,A124))</f>
        <v/>
      </c>
      <c r="R124" s="20">
        <f>IF(A124="","",SUMIFS(Pagos!$E:$E,Pagos!$C:$C,A124))</f>
        <v/>
      </c>
      <c r="S124" s="20">
        <f>IF(A124="","",Q124-R124)</f>
        <v/>
      </c>
    </row>
    <row r="125">
      <c r="A125" s="18">
        <f>IF(B125="","","A"&amp;TEXT(ROW()-1,"000"))</f>
        <v/>
      </c>
      <c r="I125" s="19" t="n"/>
      <c r="N125" s="18">
        <f>IF(A125="","",SUMIFS(Ventas!$F:$F,Ventas!$C:$C,A125))</f>
        <v/>
      </c>
      <c r="O125" s="18">
        <f>IF(A125="","",SUMIFS(Clases!$I:$I,Clases!$C:$C,A125,Clases!$J:$J,"&lt;&gt;Reprogramada"))</f>
        <v/>
      </c>
      <c r="P125" s="18">
        <f>IF(A125="","",N125-O125)</f>
        <v/>
      </c>
      <c r="Q125" s="20">
        <f>IF(A125="","",SUMIFS(Ventas!$I:$I,Ventas!$C:$C,A125))</f>
        <v/>
      </c>
      <c r="R125" s="20">
        <f>IF(A125="","",SUMIFS(Pagos!$E:$E,Pagos!$C:$C,A125))</f>
        <v/>
      </c>
      <c r="S125" s="20">
        <f>IF(A125="","",Q125-R125)</f>
        <v/>
      </c>
    </row>
    <row r="126">
      <c r="A126" s="18">
        <f>IF(B126="","","A"&amp;TEXT(ROW()-1,"000"))</f>
        <v/>
      </c>
      <c r="I126" s="19" t="n"/>
      <c r="N126" s="18">
        <f>IF(A126="","",SUMIFS(Ventas!$F:$F,Ventas!$C:$C,A126))</f>
        <v/>
      </c>
      <c r="O126" s="18">
        <f>IF(A126="","",SUMIFS(Clases!$I:$I,Clases!$C:$C,A126,Clases!$J:$J,"&lt;&gt;Reprogramada"))</f>
        <v/>
      </c>
      <c r="P126" s="18">
        <f>IF(A126="","",N126-O126)</f>
        <v/>
      </c>
      <c r="Q126" s="20">
        <f>IF(A126="","",SUMIFS(Ventas!$I:$I,Ventas!$C:$C,A126))</f>
        <v/>
      </c>
      <c r="R126" s="20">
        <f>IF(A126="","",SUMIFS(Pagos!$E:$E,Pagos!$C:$C,A126))</f>
        <v/>
      </c>
      <c r="S126" s="20">
        <f>IF(A126="","",Q126-R126)</f>
        <v/>
      </c>
    </row>
    <row r="127">
      <c r="A127" s="18">
        <f>IF(B127="","","A"&amp;TEXT(ROW()-1,"000"))</f>
        <v/>
      </c>
      <c r="I127" s="19" t="n"/>
      <c r="N127" s="18">
        <f>IF(A127="","",SUMIFS(Ventas!$F:$F,Ventas!$C:$C,A127))</f>
        <v/>
      </c>
      <c r="O127" s="18">
        <f>IF(A127="","",SUMIFS(Clases!$I:$I,Clases!$C:$C,A127,Clases!$J:$J,"&lt;&gt;Reprogramada"))</f>
        <v/>
      </c>
      <c r="P127" s="18">
        <f>IF(A127="","",N127-O127)</f>
        <v/>
      </c>
      <c r="Q127" s="20">
        <f>IF(A127="","",SUMIFS(Ventas!$I:$I,Ventas!$C:$C,A127))</f>
        <v/>
      </c>
      <c r="R127" s="20">
        <f>IF(A127="","",SUMIFS(Pagos!$E:$E,Pagos!$C:$C,A127))</f>
        <v/>
      </c>
      <c r="S127" s="20">
        <f>IF(A127="","",Q127-R127)</f>
        <v/>
      </c>
    </row>
    <row r="128">
      <c r="A128" s="18">
        <f>IF(B128="","","A"&amp;TEXT(ROW()-1,"000"))</f>
        <v/>
      </c>
      <c r="I128" s="19" t="n"/>
      <c r="N128" s="18">
        <f>IF(A128="","",SUMIFS(Ventas!$F:$F,Ventas!$C:$C,A128))</f>
        <v/>
      </c>
      <c r="O128" s="18">
        <f>IF(A128="","",SUMIFS(Clases!$I:$I,Clases!$C:$C,A128,Clases!$J:$J,"&lt;&gt;Reprogramada"))</f>
        <v/>
      </c>
      <c r="P128" s="18">
        <f>IF(A128="","",N128-O128)</f>
        <v/>
      </c>
      <c r="Q128" s="20">
        <f>IF(A128="","",SUMIFS(Ventas!$I:$I,Ventas!$C:$C,A128))</f>
        <v/>
      </c>
      <c r="R128" s="20">
        <f>IF(A128="","",SUMIFS(Pagos!$E:$E,Pagos!$C:$C,A128))</f>
        <v/>
      </c>
      <c r="S128" s="20">
        <f>IF(A128="","",Q128-R128)</f>
        <v/>
      </c>
    </row>
    <row r="129">
      <c r="A129" s="18">
        <f>IF(B129="","","A"&amp;TEXT(ROW()-1,"000"))</f>
        <v/>
      </c>
      <c r="I129" s="19" t="n"/>
      <c r="N129" s="18">
        <f>IF(A129="","",SUMIFS(Ventas!$F:$F,Ventas!$C:$C,A129))</f>
        <v/>
      </c>
      <c r="O129" s="18">
        <f>IF(A129="","",SUMIFS(Clases!$I:$I,Clases!$C:$C,A129,Clases!$J:$J,"&lt;&gt;Reprogramada"))</f>
        <v/>
      </c>
      <c r="P129" s="18">
        <f>IF(A129="","",N129-O129)</f>
        <v/>
      </c>
      <c r="Q129" s="20">
        <f>IF(A129="","",SUMIFS(Ventas!$I:$I,Ventas!$C:$C,A129))</f>
        <v/>
      </c>
      <c r="R129" s="20">
        <f>IF(A129="","",SUMIFS(Pagos!$E:$E,Pagos!$C:$C,A129))</f>
        <v/>
      </c>
      <c r="S129" s="20">
        <f>IF(A129="","",Q129-R129)</f>
        <v/>
      </c>
    </row>
    <row r="130">
      <c r="A130" s="18">
        <f>IF(B130="","","A"&amp;TEXT(ROW()-1,"000"))</f>
        <v/>
      </c>
      <c r="I130" s="19" t="n"/>
      <c r="N130" s="18">
        <f>IF(A130="","",SUMIFS(Ventas!$F:$F,Ventas!$C:$C,A130))</f>
        <v/>
      </c>
      <c r="O130" s="18">
        <f>IF(A130="","",SUMIFS(Clases!$I:$I,Clases!$C:$C,A130,Clases!$J:$J,"&lt;&gt;Reprogramada"))</f>
        <v/>
      </c>
      <c r="P130" s="18">
        <f>IF(A130="","",N130-O130)</f>
        <v/>
      </c>
      <c r="Q130" s="20">
        <f>IF(A130="","",SUMIFS(Ventas!$I:$I,Ventas!$C:$C,A130))</f>
        <v/>
      </c>
      <c r="R130" s="20">
        <f>IF(A130="","",SUMIFS(Pagos!$E:$E,Pagos!$C:$C,A130))</f>
        <v/>
      </c>
      <c r="S130" s="20">
        <f>IF(A130="","",Q130-R130)</f>
        <v/>
      </c>
    </row>
    <row r="131">
      <c r="A131" s="18">
        <f>IF(B131="","","A"&amp;TEXT(ROW()-1,"000"))</f>
        <v/>
      </c>
      <c r="I131" s="19" t="n"/>
      <c r="N131" s="18">
        <f>IF(A131="","",SUMIFS(Ventas!$F:$F,Ventas!$C:$C,A131))</f>
        <v/>
      </c>
      <c r="O131" s="18">
        <f>IF(A131="","",SUMIFS(Clases!$I:$I,Clases!$C:$C,A131,Clases!$J:$J,"&lt;&gt;Reprogramada"))</f>
        <v/>
      </c>
      <c r="P131" s="18">
        <f>IF(A131="","",N131-O131)</f>
        <v/>
      </c>
      <c r="Q131" s="20">
        <f>IF(A131="","",SUMIFS(Ventas!$I:$I,Ventas!$C:$C,A131))</f>
        <v/>
      </c>
      <c r="R131" s="20">
        <f>IF(A131="","",SUMIFS(Pagos!$E:$E,Pagos!$C:$C,A131))</f>
        <v/>
      </c>
      <c r="S131" s="20">
        <f>IF(A131="","",Q131-R131)</f>
        <v/>
      </c>
    </row>
    <row r="132">
      <c r="A132" s="18">
        <f>IF(B132="","","A"&amp;TEXT(ROW()-1,"000"))</f>
        <v/>
      </c>
      <c r="I132" s="19" t="n"/>
      <c r="N132" s="18">
        <f>IF(A132="","",SUMIFS(Ventas!$F:$F,Ventas!$C:$C,A132))</f>
        <v/>
      </c>
      <c r="O132" s="18">
        <f>IF(A132="","",SUMIFS(Clases!$I:$I,Clases!$C:$C,A132,Clases!$J:$J,"&lt;&gt;Reprogramada"))</f>
        <v/>
      </c>
      <c r="P132" s="18">
        <f>IF(A132="","",N132-O132)</f>
        <v/>
      </c>
      <c r="Q132" s="20">
        <f>IF(A132="","",SUMIFS(Ventas!$I:$I,Ventas!$C:$C,A132))</f>
        <v/>
      </c>
      <c r="R132" s="20">
        <f>IF(A132="","",SUMIFS(Pagos!$E:$E,Pagos!$C:$C,A132))</f>
        <v/>
      </c>
      <c r="S132" s="20">
        <f>IF(A132="","",Q132-R132)</f>
        <v/>
      </c>
    </row>
    <row r="133">
      <c r="A133" s="18">
        <f>IF(B133="","","A"&amp;TEXT(ROW()-1,"000"))</f>
        <v/>
      </c>
      <c r="I133" s="19" t="n"/>
      <c r="N133" s="18">
        <f>IF(A133="","",SUMIFS(Ventas!$F:$F,Ventas!$C:$C,A133))</f>
        <v/>
      </c>
      <c r="O133" s="18">
        <f>IF(A133="","",SUMIFS(Clases!$I:$I,Clases!$C:$C,A133,Clases!$J:$J,"&lt;&gt;Reprogramada"))</f>
        <v/>
      </c>
      <c r="P133" s="18">
        <f>IF(A133="","",N133-O133)</f>
        <v/>
      </c>
      <c r="Q133" s="20">
        <f>IF(A133="","",SUMIFS(Ventas!$I:$I,Ventas!$C:$C,A133))</f>
        <v/>
      </c>
      <c r="R133" s="20">
        <f>IF(A133="","",SUMIFS(Pagos!$E:$E,Pagos!$C:$C,A133))</f>
        <v/>
      </c>
      <c r="S133" s="20">
        <f>IF(A133="","",Q133-R133)</f>
        <v/>
      </c>
    </row>
    <row r="134">
      <c r="A134" s="18">
        <f>IF(B134="","","A"&amp;TEXT(ROW()-1,"000"))</f>
        <v/>
      </c>
      <c r="I134" s="19" t="n"/>
      <c r="N134" s="18">
        <f>IF(A134="","",SUMIFS(Ventas!$F:$F,Ventas!$C:$C,A134))</f>
        <v/>
      </c>
      <c r="O134" s="18">
        <f>IF(A134="","",SUMIFS(Clases!$I:$I,Clases!$C:$C,A134,Clases!$J:$J,"&lt;&gt;Reprogramada"))</f>
        <v/>
      </c>
      <c r="P134" s="18">
        <f>IF(A134="","",N134-O134)</f>
        <v/>
      </c>
      <c r="Q134" s="20">
        <f>IF(A134="","",SUMIFS(Ventas!$I:$I,Ventas!$C:$C,A134))</f>
        <v/>
      </c>
      <c r="R134" s="20">
        <f>IF(A134="","",SUMIFS(Pagos!$E:$E,Pagos!$C:$C,A134))</f>
        <v/>
      </c>
      <c r="S134" s="20">
        <f>IF(A134="","",Q134-R134)</f>
        <v/>
      </c>
    </row>
    <row r="135">
      <c r="A135" s="18">
        <f>IF(B135="","","A"&amp;TEXT(ROW()-1,"000"))</f>
        <v/>
      </c>
      <c r="I135" s="19" t="n"/>
      <c r="N135" s="18">
        <f>IF(A135="","",SUMIFS(Ventas!$F:$F,Ventas!$C:$C,A135))</f>
        <v/>
      </c>
      <c r="O135" s="18">
        <f>IF(A135="","",SUMIFS(Clases!$I:$I,Clases!$C:$C,A135,Clases!$J:$J,"&lt;&gt;Reprogramada"))</f>
        <v/>
      </c>
      <c r="P135" s="18">
        <f>IF(A135="","",N135-O135)</f>
        <v/>
      </c>
      <c r="Q135" s="20">
        <f>IF(A135="","",SUMIFS(Ventas!$I:$I,Ventas!$C:$C,A135))</f>
        <v/>
      </c>
      <c r="R135" s="20">
        <f>IF(A135="","",SUMIFS(Pagos!$E:$E,Pagos!$C:$C,A135))</f>
        <v/>
      </c>
      <c r="S135" s="20">
        <f>IF(A135="","",Q135-R135)</f>
        <v/>
      </c>
    </row>
    <row r="136">
      <c r="A136" s="18">
        <f>IF(B136="","","A"&amp;TEXT(ROW()-1,"000"))</f>
        <v/>
      </c>
      <c r="I136" s="19" t="n"/>
      <c r="N136" s="18">
        <f>IF(A136="","",SUMIFS(Ventas!$F:$F,Ventas!$C:$C,A136))</f>
        <v/>
      </c>
      <c r="O136" s="18">
        <f>IF(A136="","",SUMIFS(Clases!$I:$I,Clases!$C:$C,A136,Clases!$J:$J,"&lt;&gt;Reprogramada"))</f>
        <v/>
      </c>
      <c r="P136" s="18">
        <f>IF(A136="","",N136-O136)</f>
        <v/>
      </c>
      <c r="Q136" s="20">
        <f>IF(A136="","",SUMIFS(Ventas!$I:$I,Ventas!$C:$C,A136))</f>
        <v/>
      </c>
      <c r="R136" s="20">
        <f>IF(A136="","",SUMIFS(Pagos!$E:$E,Pagos!$C:$C,A136))</f>
        <v/>
      </c>
      <c r="S136" s="20">
        <f>IF(A136="","",Q136-R136)</f>
        <v/>
      </c>
    </row>
    <row r="137">
      <c r="A137" s="18">
        <f>IF(B137="","","A"&amp;TEXT(ROW()-1,"000"))</f>
        <v/>
      </c>
      <c r="I137" s="19" t="n"/>
      <c r="N137" s="18">
        <f>IF(A137="","",SUMIFS(Ventas!$F:$F,Ventas!$C:$C,A137))</f>
        <v/>
      </c>
      <c r="O137" s="18">
        <f>IF(A137="","",SUMIFS(Clases!$I:$I,Clases!$C:$C,A137,Clases!$J:$J,"&lt;&gt;Reprogramada"))</f>
        <v/>
      </c>
      <c r="P137" s="18">
        <f>IF(A137="","",N137-O137)</f>
        <v/>
      </c>
      <c r="Q137" s="20">
        <f>IF(A137="","",SUMIFS(Ventas!$I:$I,Ventas!$C:$C,A137))</f>
        <v/>
      </c>
      <c r="R137" s="20">
        <f>IF(A137="","",SUMIFS(Pagos!$E:$E,Pagos!$C:$C,A137))</f>
        <v/>
      </c>
      <c r="S137" s="20">
        <f>IF(A137="","",Q137-R137)</f>
        <v/>
      </c>
    </row>
    <row r="138">
      <c r="A138" s="18">
        <f>IF(B138="","","A"&amp;TEXT(ROW()-1,"000"))</f>
        <v/>
      </c>
      <c r="I138" s="19" t="n"/>
      <c r="N138" s="18">
        <f>IF(A138="","",SUMIFS(Ventas!$F:$F,Ventas!$C:$C,A138))</f>
        <v/>
      </c>
      <c r="O138" s="18">
        <f>IF(A138="","",SUMIFS(Clases!$I:$I,Clases!$C:$C,A138,Clases!$J:$J,"&lt;&gt;Reprogramada"))</f>
        <v/>
      </c>
      <c r="P138" s="18">
        <f>IF(A138="","",N138-O138)</f>
        <v/>
      </c>
      <c r="Q138" s="20">
        <f>IF(A138="","",SUMIFS(Ventas!$I:$I,Ventas!$C:$C,A138))</f>
        <v/>
      </c>
      <c r="R138" s="20">
        <f>IF(A138="","",SUMIFS(Pagos!$E:$E,Pagos!$C:$C,A138))</f>
        <v/>
      </c>
      <c r="S138" s="20">
        <f>IF(A138="","",Q138-R138)</f>
        <v/>
      </c>
    </row>
    <row r="139">
      <c r="A139" s="18">
        <f>IF(B139="","","A"&amp;TEXT(ROW()-1,"000"))</f>
        <v/>
      </c>
      <c r="I139" s="19" t="n"/>
      <c r="N139" s="18">
        <f>IF(A139="","",SUMIFS(Ventas!$F:$F,Ventas!$C:$C,A139))</f>
        <v/>
      </c>
      <c r="O139" s="18">
        <f>IF(A139="","",SUMIFS(Clases!$I:$I,Clases!$C:$C,A139,Clases!$J:$J,"&lt;&gt;Reprogramada"))</f>
        <v/>
      </c>
      <c r="P139" s="18">
        <f>IF(A139="","",N139-O139)</f>
        <v/>
      </c>
      <c r="Q139" s="20">
        <f>IF(A139="","",SUMIFS(Ventas!$I:$I,Ventas!$C:$C,A139))</f>
        <v/>
      </c>
      <c r="R139" s="20">
        <f>IF(A139="","",SUMIFS(Pagos!$E:$E,Pagos!$C:$C,A139))</f>
        <v/>
      </c>
      <c r="S139" s="20">
        <f>IF(A139="","",Q139-R139)</f>
        <v/>
      </c>
    </row>
    <row r="140">
      <c r="A140" s="18">
        <f>IF(B140="","","A"&amp;TEXT(ROW()-1,"000"))</f>
        <v/>
      </c>
      <c r="I140" s="19" t="n"/>
      <c r="N140" s="18">
        <f>IF(A140="","",SUMIFS(Ventas!$F:$F,Ventas!$C:$C,A140))</f>
        <v/>
      </c>
      <c r="O140" s="18">
        <f>IF(A140="","",SUMIFS(Clases!$I:$I,Clases!$C:$C,A140,Clases!$J:$J,"&lt;&gt;Reprogramada"))</f>
        <v/>
      </c>
      <c r="P140" s="18">
        <f>IF(A140="","",N140-O140)</f>
        <v/>
      </c>
      <c r="Q140" s="20">
        <f>IF(A140="","",SUMIFS(Ventas!$I:$I,Ventas!$C:$C,A140))</f>
        <v/>
      </c>
      <c r="R140" s="20">
        <f>IF(A140="","",SUMIFS(Pagos!$E:$E,Pagos!$C:$C,A140))</f>
        <v/>
      </c>
      <c r="S140" s="20">
        <f>IF(A140="","",Q140-R140)</f>
        <v/>
      </c>
    </row>
    <row r="141">
      <c r="A141" s="18">
        <f>IF(B141="","","A"&amp;TEXT(ROW()-1,"000"))</f>
        <v/>
      </c>
      <c r="I141" s="19" t="n"/>
      <c r="N141" s="18">
        <f>IF(A141="","",SUMIFS(Ventas!$F:$F,Ventas!$C:$C,A141))</f>
        <v/>
      </c>
      <c r="O141" s="18">
        <f>IF(A141="","",SUMIFS(Clases!$I:$I,Clases!$C:$C,A141,Clases!$J:$J,"&lt;&gt;Reprogramada"))</f>
        <v/>
      </c>
      <c r="P141" s="18">
        <f>IF(A141="","",N141-O141)</f>
        <v/>
      </c>
      <c r="Q141" s="20">
        <f>IF(A141="","",SUMIFS(Ventas!$I:$I,Ventas!$C:$C,A141))</f>
        <v/>
      </c>
      <c r="R141" s="20">
        <f>IF(A141="","",SUMIFS(Pagos!$E:$E,Pagos!$C:$C,A141))</f>
        <v/>
      </c>
      <c r="S141" s="20">
        <f>IF(A141="","",Q141-R141)</f>
        <v/>
      </c>
    </row>
    <row r="142">
      <c r="A142" s="18">
        <f>IF(B142="","","A"&amp;TEXT(ROW()-1,"000"))</f>
        <v/>
      </c>
      <c r="I142" s="19" t="n"/>
      <c r="N142" s="18">
        <f>IF(A142="","",SUMIFS(Ventas!$F:$F,Ventas!$C:$C,A142))</f>
        <v/>
      </c>
      <c r="O142" s="18">
        <f>IF(A142="","",SUMIFS(Clases!$I:$I,Clases!$C:$C,A142,Clases!$J:$J,"&lt;&gt;Reprogramada"))</f>
        <v/>
      </c>
      <c r="P142" s="18">
        <f>IF(A142="","",N142-O142)</f>
        <v/>
      </c>
      <c r="Q142" s="20">
        <f>IF(A142="","",SUMIFS(Ventas!$I:$I,Ventas!$C:$C,A142))</f>
        <v/>
      </c>
      <c r="R142" s="20">
        <f>IF(A142="","",SUMIFS(Pagos!$E:$E,Pagos!$C:$C,A142))</f>
        <v/>
      </c>
      <c r="S142" s="20">
        <f>IF(A142="","",Q142-R142)</f>
        <v/>
      </c>
    </row>
    <row r="143">
      <c r="A143" s="18">
        <f>IF(B143="","","A"&amp;TEXT(ROW()-1,"000"))</f>
        <v/>
      </c>
      <c r="I143" s="19" t="n"/>
      <c r="N143" s="18">
        <f>IF(A143="","",SUMIFS(Ventas!$F:$F,Ventas!$C:$C,A143))</f>
        <v/>
      </c>
      <c r="O143" s="18">
        <f>IF(A143="","",SUMIFS(Clases!$I:$I,Clases!$C:$C,A143,Clases!$J:$J,"&lt;&gt;Reprogramada"))</f>
        <v/>
      </c>
      <c r="P143" s="18">
        <f>IF(A143="","",N143-O143)</f>
        <v/>
      </c>
      <c r="Q143" s="20">
        <f>IF(A143="","",SUMIFS(Ventas!$I:$I,Ventas!$C:$C,A143))</f>
        <v/>
      </c>
      <c r="R143" s="20">
        <f>IF(A143="","",SUMIFS(Pagos!$E:$E,Pagos!$C:$C,A143))</f>
        <v/>
      </c>
      <c r="S143" s="20">
        <f>IF(A143="","",Q143-R143)</f>
        <v/>
      </c>
    </row>
    <row r="144">
      <c r="A144" s="18">
        <f>IF(B144="","","A"&amp;TEXT(ROW()-1,"000"))</f>
        <v/>
      </c>
      <c r="I144" s="19" t="n"/>
      <c r="N144" s="18">
        <f>IF(A144="","",SUMIFS(Ventas!$F:$F,Ventas!$C:$C,A144))</f>
        <v/>
      </c>
      <c r="O144" s="18">
        <f>IF(A144="","",SUMIFS(Clases!$I:$I,Clases!$C:$C,A144,Clases!$J:$J,"&lt;&gt;Reprogramada"))</f>
        <v/>
      </c>
      <c r="P144" s="18">
        <f>IF(A144="","",N144-O144)</f>
        <v/>
      </c>
      <c r="Q144" s="20">
        <f>IF(A144="","",SUMIFS(Ventas!$I:$I,Ventas!$C:$C,A144))</f>
        <v/>
      </c>
      <c r="R144" s="20">
        <f>IF(A144="","",SUMIFS(Pagos!$E:$E,Pagos!$C:$C,A144))</f>
        <v/>
      </c>
      <c r="S144" s="20">
        <f>IF(A144="","",Q144-R144)</f>
        <v/>
      </c>
    </row>
    <row r="145">
      <c r="A145" s="18">
        <f>IF(B145="","","A"&amp;TEXT(ROW()-1,"000"))</f>
        <v/>
      </c>
      <c r="I145" s="19" t="n"/>
      <c r="N145" s="18">
        <f>IF(A145="","",SUMIFS(Ventas!$F:$F,Ventas!$C:$C,A145))</f>
        <v/>
      </c>
      <c r="O145" s="18">
        <f>IF(A145="","",SUMIFS(Clases!$I:$I,Clases!$C:$C,A145,Clases!$J:$J,"&lt;&gt;Reprogramada"))</f>
        <v/>
      </c>
      <c r="P145" s="18">
        <f>IF(A145="","",N145-O145)</f>
        <v/>
      </c>
      <c r="Q145" s="20">
        <f>IF(A145="","",SUMIFS(Ventas!$I:$I,Ventas!$C:$C,A145))</f>
        <v/>
      </c>
      <c r="R145" s="20">
        <f>IF(A145="","",SUMIFS(Pagos!$E:$E,Pagos!$C:$C,A145))</f>
        <v/>
      </c>
      <c r="S145" s="20">
        <f>IF(A145="","",Q145-R145)</f>
        <v/>
      </c>
    </row>
    <row r="146">
      <c r="A146" s="18">
        <f>IF(B146="","","A"&amp;TEXT(ROW()-1,"000"))</f>
        <v/>
      </c>
      <c r="I146" s="19" t="n"/>
      <c r="N146" s="18">
        <f>IF(A146="","",SUMIFS(Ventas!$F:$F,Ventas!$C:$C,A146))</f>
        <v/>
      </c>
      <c r="O146" s="18">
        <f>IF(A146="","",SUMIFS(Clases!$I:$I,Clases!$C:$C,A146,Clases!$J:$J,"&lt;&gt;Reprogramada"))</f>
        <v/>
      </c>
      <c r="P146" s="18">
        <f>IF(A146="","",N146-O146)</f>
        <v/>
      </c>
      <c r="Q146" s="20">
        <f>IF(A146="","",SUMIFS(Ventas!$I:$I,Ventas!$C:$C,A146))</f>
        <v/>
      </c>
      <c r="R146" s="20">
        <f>IF(A146="","",SUMIFS(Pagos!$E:$E,Pagos!$C:$C,A146))</f>
        <v/>
      </c>
      <c r="S146" s="20">
        <f>IF(A146="","",Q146-R146)</f>
        <v/>
      </c>
    </row>
    <row r="147">
      <c r="A147" s="18">
        <f>IF(B147="","","A"&amp;TEXT(ROW()-1,"000"))</f>
        <v/>
      </c>
      <c r="I147" s="19" t="n"/>
      <c r="N147" s="18">
        <f>IF(A147="","",SUMIFS(Ventas!$F:$F,Ventas!$C:$C,A147))</f>
        <v/>
      </c>
      <c r="O147" s="18">
        <f>IF(A147="","",SUMIFS(Clases!$I:$I,Clases!$C:$C,A147,Clases!$J:$J,"&lt;&gt;Reprogramada"))</f>
        <v/>
      </c>
      <c r="P147" s="18">
        <f>IF(A147="","",N147-O147)</f>
        <v/>
      </c>
      <c r="Q147" s="20">
        <f>IF(A147="","",SUMIFS(Ventas!$I:$I,Ventas!$C:$C,A147))</f>
        <v/>
      </c>
      <c r="R147" s="20">
        <f>IF(A147="","",SUMIFS(Pagos!$E:$E,Pagos!$C:$C,A147))</f>
        <v/>
      </c>
      <c r="S147" s="20">
        <f>IF(A147="","",Q147-R147)</f>
        <v/>
      </c>
    </row>
    <row r="148">
      <c r="A148" s="18">
        <f>IF(B148="","","A"&amp;TEXT(ROW()-1,"000"))</f>
        <v/>
      </c>
      <c r="I148" s="19" t="n"/>
      <c r="N148" s="18">
        <f>IF(A148="","",SUMIFS(Ventas!$F:$F,Ventas!$C:$C,A148))</f>
        <v/>
      </c>
      <c r="O148" s="18">
        <f>IF(A148="","",SUMIFS(Clases!$I:$I,Clases!$C:$C,A148,Clases!$J:$J,"&lt;&gt;Reprogramada"))</f>
        <v/>
      </c>
      <c r="P148" s="18">
        <f>IF(A148="","",N148-O148)</f>
        <v/>
      </c>
      <c r="Q148" s="20">
        <f>IF(A148="","",SUMIFS(Ventas!$I:$I,Ventas!$C:$C,A148))</f>
        <v/>
      </c>
      <c r="R148" s="20">
        <f>IF(A148="","",SUMIFS(Pagos!$E:$E,Pagos!$C:$C,A148))</f>
        <v/>
      </c>
      <c r="S148" s="20">
        <f>IF(A148="","",Q148-R148)</f>
        <v/>
      </c>
    </row>
    <row r="149">
      <c r="A149" s="18">
        <f>IF(B149="","","A"&amp;TEXT(ROW()-1,"000"))</f>
        <v/>
      </c>
      <c r="I149" s="19" t="n"/>
      <c r="N149" s="18">
        <f>IF(A149="","",SUMIFS(Ventas!$F:$F,Ventas!$C:$C,A149))</f>
        <v/>
      </c>
      <c r="O149" s="18">
        <f>IF(A149="","",SUMIFS(Clases!$I:$I,Clases!$C:$C,A149,Clases!$J:$J,"&lt;&gt;Reprogramada"))</f>
        <v/>
      </c>
      <c r="P149" s="18">
        <f>IF(A149="","",N149-O149)</f>
        <v/>
      </c>
      <c r="Q149" s="20">
        <f>IF(A149="","",SUMIFS(Ventas!$I:$I,Ventas!$C:$C,A149))</f>
        <v/>
      </c>
      <c r="R149" s="20">
        <f>IF(A149="","",SUMIFS(Pagos!$E:$E,Pagos!$C:$C,A149))</f>
        <v/>
      </c>
      <c r="S149" s="20">
        <f>IF(A149="","",Q149-R149)</f>
        <v/>
      </c>
    </row>
    <row r="150">
      <c r="A150" s="18">
        <f>IF(B150="","","A"&amp;TEXT(ROW()-1,"000"))</f>
        <v/>
      </c>
      <c r="I150" s="19" t="n"/>
      <c r="N150" s="18">
        <f>IF(A150="","",SUMIFS(Ventas!$F:$F,Ventas!$C:$C,A150))</f>
        <v/>
      </c>
      <c r="O150" s="18">
        <f>IF(A150="","",SUMIFS(Clases!$I:$I,Clases!$C:$C,A150,Clases!$J:$J,"&lt;&gt;Reprogramada"))</f>
        <v/>
      </c>
      <c r="P150" s="18">
        <f>IF(A150="","",N150-O150)</f>
        <v/>
      </c>
      <c r="Q150" s="20">
        <f>IF(A150="","",SUMIFS(Ventas!$I:$I,Ventas!$C:$C,A150))</f>
        <v/>
      </c>
      <c r="R150" s="20">
        <f>IF(A150="","",SUMIFS(Pagos!$E:$E,Pagos!$C:$C,A150))</f>
        <v/>
      </c>
      <c r="S150" s="20">
        <f>IF(A150="","",Q150-R150)</f>
        <v/>
      </c>
    </row>
    <row r="151">
      <c r="A151" s="18">
        <f>IF(B151="","","A"&amp;TEXT(ROW()-1,"000"))</f>
        <v/>
      </c>
      <c r="I151" s="19" t="n"/>
      <c r="N151" s="18">
        <f>IF(A151="","",SUMIFS(Ventas!$F:$F,Ventas!$C:$C,A151))</f>
        <v/>
      </c>
      <c r="O151" s="18">
        <f>IF(A151="","",SUMIFS(Clases!$I:$I,Clases!$C:$C,A151,Clases!$J:$J,"&lt;&gt;Reprogramada"))</f>
        <v/>
      </c>
      <c r="P151" s="18">
        <f>IF(A151="","",N151-O151)</f>
        <v/>
      </c>
      <c r="Q151" s="20">
        <f>IF(A151="","",SUMIFS(Ventas!$I:$I,Ventas!$C:$C,A151))</f>
        <v/>
      </c>
      <c r="R151" s="20">
        <f>IF(A151="","",SUMIFS(Pagos!$E:$E,Pagos!$C:$C,A151))</f>
        <v/>
      </c>
      <c r="S151" s="20">
        <f>IF(A151="","",Q151-R151)</f>
        <v/>
      </c>
    </row>
    <row r="152">
      <c r="A152" s="18">
        <f>IF(B152="","","A"&amp;TEXT(ROW()-1,"000"))</f>
        <v/>
      </c>
      <c r="I152" s="19" t="n"/>
      <c r="N152" s="18">
        <f>IF(A152="","",SUMIFS(Ventas!$F:$F,Ventas!$C:$C,A152))</f>
        <v/>
      </c>
      <c r="O152" s="18">
        <f>IF(A152="","",SUMIFS(Clases!$I:$I,Clases!$C:$C,A152,Clases!$J:$J,"&lt;&gt;Reprogramada"))</f>
        <v/>
      </c>
      <c r="P152" s="18">
        <f>IF(A152="","",N152-O152)</f>
        <v/>
      </c>
      <c r="Q152" s="20">
        <f>IF(A152="","",SUMIFS(Ventas!$I:$I,Ventas!$C:$C,A152))</f>
        <v/>
      </c>
      <c r="R152" s="20">
        <f>IF(A152="","",SUMIFS(Pagos!$E:$E,Pagos!$C:$C,A152))</f>
        <v/>
      </c>
      <c r="S152" s="20">
        <f>IF(A152="","",Q152-R152)</f>
        <v/>
      </c>
    </row>
    <row r="153">
      <c r="A153" s="18">
        <f>IF(B153="","","A"&amp;TEXT(ROW()-1,"000"))</f>
        <v/>
      </c>
      <c r="I153" s="19" t="n"/>
      <c r="N153" s="18">
        <f>IF(A153="","",SUMIFS(Ventas!$F:$F,Ventas!$C:$C,A153))</f>
        <v/>
      </c>
      <c r="O153" s="18">
        <f>IF(A153="","",SUMIFS(Clases!$I:$I,Clases!$C:$C,A153,Clases!$J:$J,"&lt;&gt;Reprogramada"))</f>
        <v/>
      </c>
      <c r="P153" s="18">
        <f>IF(A153="","",N153-O153)</f>
        <v/>
      </c>
      <c r="Q153" s="20">
        <f>IF(A153="","",SUMIFS(Ventas!$I:$I,Ventas!$C:$C,A153))</f>
        <v/>
      </c>
      <c r="R153" s="20">
        <f>IF(A153="","",SUMIFS(Pagos!$E:$E,Pagos!$C:$C,A153))</f>
        <v/>
      </c>
      <c r="S153" s="20">
        <f>IF(A153="","",Q153-R153)</f>
        <v/>
      </c>
    </row>
    <row r="154">
      <c r="A154" s="18">
        <f>IF(B154="","","A"&amp;TEXT(ROW()-1,"000"))</f>
        <v/>
      </c>
      <c r="I154" s="19" t="n"/>
      <c r="N154" s="18">
        <f>IF(A154="","",SUMIFS(Ventas!$F:$F,Ventas!$C:$C,A154))</f>
        <v/>
      </c>
      <c r="O154" s="18">
        <f>IF(A154="","",SUMIFS(Clases!$I:$I,Clases!$C:$C,A154,Clases!$J:$J,"&lt;&gt;Reprogramada"))</f>
        <v/>
      </c>
      <c r="P154" s="18">
        <f>IF(A154="","",N154-O154)</f>
        <v/>
      </c>
      <c r="Q154" s="20">
        <f>IF(A154="","",SUMIFS(Ventas!$I:$I,Ventas!$C:$C,A154))</f>
        <v/>
      </c>
      <c r="R154" s="20">
        <f>IF(A154="","",SUMIFS(Pagos!$E:$E,Pagos!$C:$C,A154))</f>
        <v/>
      </c>
      <c r="S154" s="20">
        <f>IF(A154="","",Q154-R154)</f>
        <v/>
      </c>
    </row>
    <row r="155">
      <c r="A155" s="18">
        <f>IF(B155="","","A"&amp;TEXT(ROW()-1,"000"))</f>
        <v/>
      </c>
      <c r="I155" s="19" t="n"/>
      <c r="N155" s="18">
        <f>IF(A155="","",SUMIFS(Ventas!$F:$F,Ventas!$C:$C,A155))</f>
        <v/>
      </c>
      <c r="O155" s="18">
        <f>IF(A155="","",SUMIFS(Clases!$I:$I,Clases!$C:$C,A155,Clases!$J:$J,"&lt;&gt;Reprogramada"))</f>
        <v/>
      </c>
      <c r="P155" s="18">
        <f>IF(A155="","",N155-O155)</f>
        <v/>
      </c>
      <c r="Q155" s="20">
        <f>IF(A155="","",SUMIFS(Ventas!$I:$I,Ventas!$C:$C,A155))</f>
        <v/>
      </c>
      <c r="R155" s="20">
        <f>IF(A155="","",SUMIFS(Pagos!$E:$E,Pagos!$C:$C,A155))</f>
        <v/>
      </c>
      <c r="S155" s="20">
        <f>IF(A155="","",Q155-R155)</f>
        <v/>
      </c>
    </row>
    <row r="156">
      <c r="A156" s="18">
        <f>IF(B156="","","A"&amp;TEXT(ROW()-1,"000"))</f>
        <v/>
      </c>
      <c r="I156" s="19" t="n"/>
      <c r="N156" s="18">
        <f>IF(A156="","",SUMIFS(Ventas!$F:$F,Ventas!$C:$C,A156))</f>
        <v/>
      </c>
      <c r="O156" s="18">
        <f>IF(A156="","",SUMIFS(Clases!$I:$I,Clases!$C:$C,A156,Clases!$J:$J,"&lt;&gt;Reprogramada"))</f>
        <v/>
      </c>
      <c r="P156" s="18">
        <f>IF(A156="","",N156-O156)</f>
        <v/>
      </c>
      <c r="Q156" s="20">
        <f>IF(A156="","",SUMIFS(Ventas!$I:$I,Ventas!$C:$C,A156))</f>
        <v/>
      </c>
      <c r="R156" s="20">
        <f>IF(A156="","",SUMIFS(Pagos!$E:$E,Pagos!$C:$C,A156))</f>
        <v/>
      </c>
      <c r="S156" s="20">
        <f>IF(A156="","",Q156-R156)</f>
        <v/>
      </c>
    </row>
    <row r="157">
      <c r="A157" s="18">
        <f>IF(B157="","","A"&amp;TEXT(ROW()-1,"000"))</f>
        <v/>
      </c>
      <c r="I157" s="19" t="n"/>
      <c r="N157" s="18">
        <f>IF(A157="","",SUMIFS(Ventas!$F:$F,Ventas!$C:$C,A157))</f>
        <v/>
      </c>
      <c r="O157" s="18">
        <f>IF(A157="","",SUMIFS(Clases!$I:$I,Clases!$C:$C,A157,Clases!$J:$J,"&lt;&gt;Reprogramada"))</f>
        <v/>
      </c>
      <c r="P157" s="18">
        <f>IF(A157="","",N157-O157)</f>
        <v/>
      </c>
      <c r="Q157" s="20">
        <f>IF(A157="","",SUMIFS(Ventas!$I:$I,Ventas!$C:$C,A157))</f>
        <v/>
      </c>
      <c r="R157" s="20">
        <f>IF(A157="","",SUMIFS(Pagos!$E:$E,Pagos!$C:$C,A157))</f>
        <v/>
      </c>
      <c r="S157" s="20">
        <f>IF(A157="","",Q157-R157)</f>
        <v/>
      </c>
    </row>
    <row r="158">
      <c r="A158" s="18">
        <f>IF(B158="","","A"&amp;TEXT(ROW()-1,"000"))</f>
        <v/>
      </c>
      <c r="I158" s="19" t="n"/>
      <c r="N158" s="18">
        <f>IF(A158="","",SUMIFS(Ventas!$F:$F,Ventas!$C:$C,A158))</f>
        <v/>
      </c>
      <c r="O158" s="18">
        <f>IF(A158="","",SUMIFS(Clases!$I:$I,Clases!$C:$C,A158,Clases!$J:$J,"&lt;&gt;Reprogramada"))</f>
        <v/>
      </c>
      <c r="P158" s="18">
        <f>IF(A158="","",N158-O158)</f>
        <v/>
      </c>
      <c r="Q158" s="20">
        <f>IF(A158="","",SUMIFS(Ventas!$I:$I,Ventas!$C:$C,A158))</f>
        <v/>
      </c>
      <c r="R158" s="20">
        <f>IF(A158="","",SUMIFS(Pagos!$E:$E,Pagos!$C:$C,A158))</f>
        <v/>
      </c>
      <c r="S158" s="20">
        <f>IF(A158="","",Q158-R158)</f>
        <v/>
      </c>
    </row>
    <row r="159">
      <c r="A159" s="18">
        <f>IF(B159="","","A"&amp;TEXT(ROW()-1,"000"))</f>
        <v/>
      </c>
      <c r="I159" s="19" t="n"/>
      <c r="N159" s="18">
        <f>IF(A159="","",SUMIFS(Ventas!$F:$F,Ventas!$C:$C,A159))</f>
        <v/>
      </c>
      <c r="O159" s="18">
        <f>IF(A159="","",SUMIFS(Clases!$I:$I,Clases!$C:$C,A159,Clases!$J:$J,"&lt;&gt;Reprogramada"))</f>
        <v/>
      </c>
      <c r="P159" s="18">
        <f>IF(A159="","",N159-O159)</f>
        <v/>
      </c>
      <c r="Q159" s="20">
        <f>IF(A159="","",SUMIFS(Ventas!$I:$I,Ventas!$C:$C,A159))</f>
        <v/>
      </c>
      <c r="R159" s="20">
        <f>IF(A159="","",SUMIFS(Pagos!$E:$E,Pagos!$C:$C,A159))</f>
        <v/>
      </c>
      <c r="S159" s="20">
        <f>IF(A159="","",Q159-R159)</f>
        <v/>
      </c>
    </row>
    <row r="160">
      <c r="A160" s="18">
        <f>IF(B160="","","A"&amp;TEXT(ROW()-1,"000"))</f>
        <v/>
      </c>
      <c r="I160" s="19" t="n"/>
      <c r="N160" s="18">
        <f>IF(A160="","",SUMIFS(Ventas!$F:$F,Ventas!$C:$C,A160))</f>
        <v/>
      </c>
      <c r="O160" s="18">
        <f>IF(A160="","",SUMIFS(Clases!$I:$I,Clases!$C:$C,A160,Clases!$J:$J,"&lt;&gt;Reprogramada"))</f>
        <v/>
      </c>
      <c r="P160" s="18">
        <f>IF(A160="","",N160-O160)</f>
        <v/>
      </c>
      <c r="Q160" s="20">
        <f>IF(A160="","",SUMIFS(Ventas!$I:$I,Ventas!$C:$C,A160))</f>
        <v/>
      </c>
      <c r="R160" s="20">
        <f>IF(A160="","",SUMIFS(Pagos!$E:$E,Pagos!$C:$C,A160))</f>
        <v/>
      </c>
      <c r="S160" s="20">
        <f>IF(A160="","",Q160-R160)</f>
        <v/>
      </c>
    </row>
    <row r="161">
      <c r="A161" s="18">
        <f>IF(B161="","","A"&amp;TEXT(ROW()-1,"000"))</f>
        <v/>
      </c>
      <c r="I161" s="19" t="n"/>
      <c r="N161" s="18">
        <f>IF(A161="","",SUMIFS(Ventas!$F:$F,Ventas!$C:$C,A161))</f>
        <v/>
      </c>
      <c r="O161" s="18">
        <f>IF(A161="","",SUMIFS(Clases!$I:$I,Clases!$C:$C,A161,Clases!$J:$J,"&lt;&gt;Reprogramada"))</f>
        <v/>
      </c>
      <c r="P161" s="18">
        <f>IF(A161="","",N161-O161)</f>
        <v/>
      </c>
      <c r="Q161" s="20">
        <f>IF(A161="","",SUMIFS(Ventas!$I:$I,Ventas!$C:$C,A161))</f>
        <v/>
      </c>
      <c r="R161" s="20">
        <f>IF(A161="","",SUMIFS(Pagos!$E:$E,Pagos!$C:$C,A161))</f>
        <v/>
      </c>
      <c r="S161" s="20">
        <f>IF(A161="","",Q161-R161)</f>
        <v/>
      </c>
    </row>
    <row r="162">
      <c r="A162" s="18">
        <f>IF(B162="","","A"&amp;TEXT(ROW()-1,"000"))</f>
        <v/>
      </c>
      <c r="I162" s="19" t="n"/>
      <c r="N162" s="18">
        <f>IF(A162="","",SUMIFS(Ventas!$F:$F,Ventas!$C:$C,A162))</f>
        <v/>
      </c>
      <c r="O162" s="18">
        <f>IF(A162="","",SUMIFS(Clases!$I:$I,Clases!$C:$C,A162,Clases!$J:$J,"&lt;&gt;Reprogramada"))</f>
        <v/>
      </c>
      <c r="P162" s="18">
        <f>IF(A162="","",N162-O162)</f>
        <v/>
      </c>
      <c r="Q162" s="20">
        <f>IF(A162="","",SUMIFS(Ventas!$I:$I,Ventas!$C:$C,A162))</f>
        <v/>
      </c>
      <c r="R162" s="20">
        <f>IF(A162="","",SUMIFS(Pagos!$E:$E,Pagos!$C:$C,A162))</f>
        <v/>
      </c>
      <c r="S162" s="20">
        <f>IF(A162="","",Q162-R162)</f>
        <v/>
      </c>
    </row>
    <row r="163">
      <c r="A163" s="18">
        <f>IF(B163="","","A"&amp;TEXT(ROW()-1,"000"))</f>
        <v/>
      </c>
      <c r="I163" s="19" t="n"/>
      <c r="N163" s="18">
        <f>IF(A163="","",SUMIFS(Ventas!$F:$F,Ventas!$C:$C,A163))</f>
        <v/>
      </c>
      <c r="O163" s="18">
        <f>IF(A163="","",SUMIFS(Clases!$I:$I,Clases!$C:$C,A163,Clases!$J:$J,"&lt;&gt;Reprogramada"))</f>
        <v/>
      </c>
      <c r="P163" s="18">
        <f>IF(A163="","",N163-O163)</f>
        <v/>
      </c>
      <c r="Q163" s="20">
        <f>IF(A163="","",SUMIFS(Ventas!$I:$I,Ventas!$C:$C,A163))</f>
        <v/>
      </c>
      <c r="R163" s="20">
        <f>IF(A163="","",SUMIFS(Pagos!$E:$E,Pagos!$C:$C,A163))</f>
        <v/>
      </c>
      <c r="S163" s="20">
        <f>IF(A163="","",Q163-R163)</f>
        <v/>
      </c>
    </row>
    <row r="164">
      <c r="A164" s="18">
        <f>IF(B164="","","A"&amp;TEXT(ROW()-1,"000"))</f>
        <v/>
      </c>
      <c r="I164" s="19" t="n"/>
      <c r="N164" s="18">
        <f>IF(A164="","",SUMIFS(Ventas!$F:$F,Ventas!$C:$C,A164))</f>
        <v/>
      </c>
      <c r="O164" s="18">
        <f>IF(A164="","",SUMIFS(Clases!$I:$I,Clases!$C:$C,A164,Clases!$J:$J,"&lt;&gt;Reprogramada"))</f>
        <v/>
      </c>
      <c r="P164" s="18">
        <f>IF(A164="","",N164-O164)</f>
        <v/>
      </c>
      <c r="Q164" s="20">
        <f>IF(A164="","",SUMIFS(Ventas!$I:$I,Ventas!$C:$C,A164))</f>
        <v/>
      </c>
      <c r="R164" s="20">
        <f>IF(A164="","",SUMIFS(Pagos!$E:$E,Pagos!$C:$C,A164))</f>
        <v/>
      </c>
      <c r="S164" s="20">
        <f>IF(A164="","",Q164-R164)</f>
        <v/>
      </c>
    </row>
    <row r="165">
      <c r="A165" s="18">
        <f>IF(B165="","","A"&amp;TEXT(ROW()-1,"000"))</f>
        <v/>
      </c>
      <c r="I165" s="19" t="n"/>
      <c r="N165" s="18">
        <f>IF(A165="","",SUMIFS(Ventas!$F:$F,Ventas!$C:$C,A165))</f>
        <v/>
      </c>
      <c r="O165" s="18">
        <f>IF(A165="","",SUMIFS(Clases!$I:$I,Clases!$C:$C,A165,Clases!$J:$J,"&lt;&gt;Reprogramada"))</f>
        <v/>
      </c>
      <c r="P165" s="18">
        <f>IF(A165="","",N165-O165)</f>
        <v/>
      </c>
      <c r="Q165" s="20">
        <f>IF(A165="","",SUMIFS(Ventas!$I:$I,Ventas!$C:$C,A165))</f>
        <v/>
      </c>
      <c r="R165" s="20">
        <f>IF(A165="","",SUMIFS(Pagos!$E:$E,Pagos!$C:$C,A165))</f>
        <v/>
      </c>
      <c r="S165" s="20">
        <f>IF(A165="","",Q165-R165)</f>
        <v/>
      </c>
    </row>
    <row r="166">
      <c r="A166" s="18">
        <f>IF(B166="","","A"&amp;TEXT(ROW()-1,"000"))</f>
        <v/>
      </c>
      <c r="I166" s="19" t="n"/>
      <c r="N166" s="18">
        <f>IF(A166="","",SUMIFS(Ventas!$F:$F,Ventas!$C:$C,A166))</f>
        <v/>
      </c>
      <c r="O166" s="18">
        <f>IF(A166="","",SUMIFS(Clases!$I:$I,Clases!$C:$C,A166,Clases!$J:$J,"&lt;&gt;Reprogramada"))</f>
        <v/>
      </c>
      <c r="P166" s="18">
        <f>IF(A166="","",N166-O166)</f>
        <v/>
      </c>
      <c r="Q166" s="20">
        <f>IF(A166="","",SUMIFS(Ventas!$I:$I,Ventas!$C:$C,A166))</f>
        <v/>
      </c>
      <c r="R166" s="20">
        <f>IF(A166="","",SUMIFS(Pagos!$E:$E,Pagos!$C:$C,A166))</f>
        <v/>
      </c>
      <c r="S166" s="20">
        <f>IF(A166="","",Q166-R166)</f>
        <v/>
      </c>
    </row>
    <row r="167">
      <c r="A167" s="18">
        <f>IF(B167="","","A"&amp;TEXT(ROW()-1,"000"))</f>
        <v/>
      </c>
      <c r="I167" s="19" t="n"/>
      <c r="N167" s="18">
        <f>IF(A167="","",SUMIFS(Ventas!$F:$F,Ventas!$C:$C,A167))</f>
        <v/>
      </c>
      <c r="O167" s="18">
        <f>IF(A167="","",SUMIFS(Clases!$I:$I,Clases!$C:$C,A167,Clases!$J:$J,"&lt;&gt;Reprogramada"))</f>
        <v/>
      </c>
      <c r="P167" s="18">
        <f>IF(A167="","",N167-O167)</f>
        <v/>
      </c>
      <c r="Q167" s="20">
        <f>IF(A167="","",SUMIFS(Ventas!$I:$I,Ventas!$C:$C,A167))</f>
        <v/>
      </c>
      <c r="R167" s="20">
        <f>IF(A167="","",SUMIFS(Pagos!$E:$E,Pagos!$C:$C,A167))</f>
        <v/>
      </c>
      <c r="S167" s="20">
        <f>IF(A167="","",Q167-R167)</f>
        <v/>
      </c>
    </row>
    <row r="168">
      <c r="A168" s="18">
        <f>IF(B168="","","A"&amp;TEXT(ROW()-1,"000"))</f>
        <v/>
      </c>
      <c r="I168" s="19" t="n"/>
      <c r="N168" s="18">
        <f>IF(A168="","",SUMIFS(Ventas!$F:$F,Ventas!$C:$C,A168))</f>
        <v/>
      </c>
      <c r="O168" s="18">
        <f>IF(A168="","",SUMIFS(Clases!$I:$I,Clases!$C:$C,A168,Clases!$J:$J,"&lt;&gt;Reprogramada"))</f>
        <v/>
      </c>
      <c r="P168" s="18">
        <f>IF(A168="","",N168-O168)</f>
        <v/>
      </c>
      <c r="Q168" s="20">
        <f>IF(A168="","",SUMIFS(Ventas!$I:$I,Ventas!$C:$C,A168))</f>
        <v/>
      </c>
      <c r="R168" s="20">
        <f>IF(A168="","",SUMIFS(Pagos!$E:$E,Pagos!$C:$C,A168))</f>
        <v/>
      </c>
      <c r="S168" s="20">
        <f>IF(A168="","",Q168-R168)</f>
        <v/>
      </c>
    </row>
    <row r="169">
      <c r="A169" s="18">
        <f>IF(B169="","","A"&amp;TEXT(ROW()-1,"000"))</f>
        <v/>
      </c>
      <c r="I169" s="19" t="n"/>
      <c r="N169" s="18">
        <f>IF(A169="","",SUMIFS(Ventas!$F:$F,Ventas!$C:$C,A169))</f>
        <v/>
      </c>
      <c r="O169" s="18">
        <f>IF(A169="","",SUMIFS(Clases!$I:$I,Clases!$C:$C,A169,Clases!$J:$J,"&lt;&gt;Reprogramada"))</f>
        <v/>
      </c>
      <c r="P169" s="18">
        <f>IF(A169="","",N169-O169)</f>
        <v/>
      </c>
      <c r="Q169" s="20">
        <f>IF(A169="","",SUMIFS(Ventas!$I:$I,Ventas!$C:$C,A169))</f>
        <v/>
      </c>
      <c r="R169" s="20">
        <f>IF(A169="","",SUMIFS(Pagos!$E:$E,Pagos!$C:$C,A169))</f>
        <v/>
      </c>
      <c r="S169" s="20">
        <f>IF(A169="","",Q169-R169)</f>
        <v/>
      </c>
    </row>
    <row r="170">
      <c r="A170" s="18">
        <f>IF(B170="","","A"&amp;TEXT(ROW()-1,"000"))</f>
        <v/>
      </c>
      <c r="I170" s="19" t="n"/>
      <c r="N170" s="18">
        <f>IF(A170="","",SUMIFS(Ventas!$F:$F,Ventas!$C:$C,A170))</f>
        <v/>
      </c>
      <c r="O170" s="18">
        <f>IF(A170="","",SUMIFS(Clases!$I:$I,Clases!$C:$C,A170,Clases!$J:$J,"&lt;&gt;Reprogramada"))</f>
        <v/>
      </c>
      <c r="P170" s="18">
        <f>IF(A170="","",N170-O170)</f>
        <v/>
      </c>
      <c r="Q170" s="20">
        <f>IF(A170="","",SUMIFS(Ventas!$I:$I,Ventas!$C:$C,A170))</f>
        <v/>
      </c>
      <c r="R170" s="20">
        <f>IF(A170="","",SUMIFS(Pagos!$E:$E,Pagos!$C:$C,A170))</f>
        <v/>
      </c>
      <c r="S170" s="20">
        <f>IF(A170="","",Q170-R170)</f>
        <v/>
      </c>
    </row>
    <row r="171">
      <c r="A171" s="18">
        <f>IF(B171="","","A"&amp;TEXT(ROW()-1,"000"))</f>
        <v/>
      </c>
      <c r="I171" s="19" t="n"/>
      <c r="N171" s="18">
        <f>IF(A171="","",SUMIFS(Ventas!$F:$F,Ventas!$C:$C,A171))</f>
        <v/>
      </c>
      <c r="O171" s="18">
        <f>IF(A171="","",SUMIFS(Clases!$I:$I,Clases!$C:$C,A171,Clases!$J:$J,"&lt;&gt;Reprogramada"))</f>
        <v/>
      </c>
      <c r="P171" s="18">
        <f>IF(A171="","",N171-O171)</f>
        <v/>
      </c>
      <c r="Q171" s="20">
        <f>IF(A171="","",SUMIFS(Ventas!$I:$I,Ventas!$C:$C,A171))</f>
        <v/>
      </c>
      <c r="R171" s="20">
        <f>IF(A171="","",SUMIFS(Pagos!$E:$E,Pagos!$C:$C,A171))</f>
        <v/>
      </c>
      <c r="S171" s="20">
        <f>IF(A171="","",Q171-R171)</f>
        <v/>
      </c>
    </row>
    <row r="172">
      <c r="A172" s="18">
        <f>IF(B172="","","A"&amp;TEXT(ROW()-1,"000"))</f>
        <v/>
      </c>
      <c r="I172" s="19" t="n"/>
      <c r="N172" s="18">
        <f>IF(A172="","",SUMIFS(Ventas!$F:$F,Ventas!$C:$C,A172))</f>
        <v/>
      </c>
      <c r="O172" s="18">
        <f>IF(A172="","",SUMIFS(Clases!$I:$I,Clases!$C:$C,A172,Clases!$J:$J,"&lt;&gt;Reprogramada"))</f>
        <v/>
      </c>
      <c r="P172" s="18">
        <f>IF(A172="","",N172-O172)</f>
        <v/>
      </c>
      <c r="Q172" s="20">
        <f>IF(A172="","",SUMIFS(Ventas!$I:$I,Ventas!$C:$C,A172))</f>
        <v/>
      </c>
      <c r="R172" s="20">
        <f>IF(A172="","",SUMIFS(Pagos!$E:$E,Pagos!$C:$C,A172))</f>
        <v/>
      </c>
      <c r="S172" s="20">
        <f>IF(A172="","",Q172-R172)</f>
        <v/>
      </c>
    </row>
    <row r="173">
      <c r="A173" s="18">
        <f>IF(B173="","","A"&amp;TEXT(ROW()-1,"000"))</f>
        <v/>
      </c>
      <c r="I173" s="19" t="n"/>
      <c r="N173" s="18">
        <f>IF(A173="","",SUMIFS(Ventas!$F:$F,Ventas!$C:$C,A173))</f>
        <v/>
      </c>
      <c r="O173" s="18">
        <f>IF(A173="","",SUMIFS(Clases!$I:$I,Clases!$C:$C,A173,Clases!$J:$J,"&lt;&gt;Reprogramada"))</f>
        <v/>
      </c>
      <c r="P173" s="18">
        <f>IF(A173="","",N173-O173)</f>
        <v/>
      </c>
      <c r="Q173" s="20">
        <f>IF(A173="","",SUMIFS(Ventas!$I:$I,Ventas!$C:$C,A173))</f>
        <v/>
      </c>
      <c r="R173" s="20">
        <f>IF(A173="","",SUMIFS(Pagos!$E:$E,Pagos!$C:$C,A173))</f>
        <v/>
      </c>
      <c r="S173" s="20">
        <f>IF(A173="","",Q173-R173)</f>
        <v/>
      </c>
    </row>
    <row r="174">
      <c r="A174" s="18">
        <f>IF(B174="","","A"&amp;TEXT(ROW()-1,"000"))</f>
        <v/>
      </c>
      <c r="I174" s="19" t="n"/>
      <c r="N174" s="18">
        <f>IF(A174="","",SUMIFS(Ventas!$F:$F,Ventas!$C:$C,A174))</f>
        <v/>
      </c>
      <c r="O174" s="18">
        <f>IF(A174="","",SUMIFS(Clases!$I:$I,Clases!$C:$C,A174,Clases!$J:$J,"&lt;&gt;Reprogramada"))</f>
        <v/>
      </c>
      <c r="P174" s="18">
        <f>IF(A174="","",N174-O174)</f>
        <v/>
      </c>
      <c r="Q174" s="20">
        <f>IF(A174="","",SUMIFS(Ventas!$I:$I,Ventas!$C:$C,A174))</f>
        <v/>
      </c>
      <c r="R174" s="20">
        <f>IF(A174="","",SUMIFS(Pagos!$E:$E,Pagos!$C:$C,A174))</f>
        <v/>
      </c>
      <c r="S174" s="20">
        <f>IF(A174="","",Q174-R174)</f>
        <v/>
      </c>
    </row>
    <row r="175">
      <c r="A175" s="18">
        <f>IF(B175="","","A"&amp;TEXT(ROW()-1,"000"))</f>
        <v/>
      </c>
      <c r="I175" s="19" t="n"/>
      <c r="N175" s="18">
        <f>IF(A175="","",SUMIFS(Ventas!$F:$F,Ventas!$C:$C,A175))</f>
        <v/>
      </c>
      <c r="O175" s="18">
        <f>IF(A175="","",SUMIFS(Clases!$I:$I,Clases!$C:$C,A175,Clases!$J:$J,"&lt;&gt;Reprogramada"))</f>
        <v/>
      </c>
      <c r="P175" s="18">
        <f>IF(A175="","",N175-O175)</f>
        <v/>
      </c>
      <c r="Q175" s="20">
        <f>IF(A175="","",SUMIFS(Ventas!$I:$I,Ventas!$C:$C,A175))</f>
        <v/>
      </c>
      <c r="R175" s="20">
        <f>IF(A175="","",SUMIFS(Pagos!$E:$E,Pagos!$C:$C,A175))</f>
        <v/>
      </c>
      <c r="S175" s="20">
        <f>IF(A175="","",Q175-R175)</f>
        <v/>
      </c>
    </row>
    <row r="176">
      <c r="A176" s="18">
        <f>IF(B176="","","A"&amp;TEXT(ROW()-1,"000"))</f>
        <v/>
      </c>
      <c r="I176" s="19" t="n"/>
      <c r="N176" s="18">
        <f>IF(A176="","",SUMIFS(Ventas!$F:$F,Ventas!$C:$C,A176))</f>
        <v/>
      </c>
      <c r="O176" s="18">
        <f>IF(A176="","",SUMIFS(Clases!$I:$I,Clases!$C:$C,A176,Clases!$J:$J,"&lt;&gt;Reprogramada"))</f>
        <v/>
      </c>
      <c r="P176" s="18">
        <f>IF(A176="","",N176-O176)</f>
        <v/>
      </c>
      <c r="Q176" s="20">
        <f>IF(A176="","",SUMIFS(Ventas!$I:$I,Ventas!$C:$C,A176))</f>
        <v/>
      </c>
      <c r="R176" s="20">
        <f>IF(A176="","",SUMIFS(Pagos!$E:$E,Pagos!$C:$C,A176))</f>
        <v/>
      </c>
      <c r="S176" s="20">
        <f>IF(A176="","",Q176-R176)</f>
        <v/>
      </c>
    </row>
    <row r="177">
      <c r="A177" s="18">
        <f>IF(B177="","","A"&amp;TEXT(ROW()-1,"000"))</f>
        <v/>
      </c>
      <c r="I177" s="19" t="n"/>
      <c r="N177" s="18">
        <f>IF(A177="","",SUMIFS(Ventas!$F:$F,Ventas!$C:$C,A177))</f>
        <v/>
      </c>
      <c r="O177" s="18">
        <f>IF(A177="","",SUMIFS(Clases!$I:$I,Clases!$C:$C,A177,Clases!$J:$J,"&lt;&gt;Reprogramada"))</f>
        <v/>
      </c>
      <c r="P177" s="18">
        <f>IF(A177="","",N177-O177)</f>
        <v/>
      </c>
      <c r="Q177" s="20">
        <f>IF(A177="","",SUMIFS(Ventas!$I:$I,Ventas!$C:$C,A177))</f>
        <v/>
      </c>
      <c r="R177" s="20">
        <f>IF(A177="","",SUMIFS(Pagos!$E:$E,Pagos!$C:$C,A177))</f>
        <v/>
      </c>
      <c r="S177" s="20">
        <f>IF(A177="","",Q177-R177)</f>
        <v/>
      </c>
    </row>
    <row r="178">
      <c r="A178" s="18">
        <f>IF(B178="","","A"&amp;TEXT(ROW()-1,"000"))</f>
        <v/>
      </c>
      <c r="I178" s="19" t="n"/>
      <c r="N178" s="18">
        <f>IF(A178="","",SUMIFS(Ventas!$F:$F,Ventas!$C:$C,A178))</f>
        <v/>
      </c>
      <c r="O178" s="18">
        <f>IF(A178="","",SUMIFS(Clases!$I:$I,Clases!$C:$C,A178,Clases!$J:$J,"&lt;&gt;Reprogramada"))</f>
        <v/>
      </c>
      <c r="P178" s="18">
        <f>IF(A178="","",N178-O178)</f>
        <v/>
      </c>
      <c r="Q178" s="20">
        <f>IF(A178="","",SUMIFS(Ventas!$I:$I,Ventas!$C:$C,A178))</f>
        <v/>
      </c>
      <c r="R178" s="20">
        <f>IF(A178="","",SUMIFS(Pagos!$E:$E,Pagos!$C:$C,A178))</f>
        <v/>
      </c>
      <c r="S178" s="20">
        <f>IF(A178="","",Q178-R178)</f>
        <v/>
      </c>
    </row>
    <row r="179">
      <c r="A179" s="18">
        <f>IF(B179="","","A"&amp;TEXT(ROW()-1,"000"))</f>
        <v/>
      </c>
      <c r="I179" s="19" t="n"/>
      <c r="N179" s="18">
        <f>IF(A179="","",SUMIFS(Ventas!$F:$F,Ventas!$C:$C,A179))</f>
        <v/>
      </c>
      <c r="O179" s="18">
        <f>IF(A179="","",SUMIFS(Clases!$I:$I,Clases!$C:$C,A179,Clases!$J:$J,"&lt;&gt;Reprogramada"))</f>
        <v/>
      </c>
      <c r="P179" s="18">
        <f>IF(A179="","",N179-O179)</f>
        <v/>
      </c>
      <c r="Q179" s="20">
        <f>IF(A179="","",SUMIFS(Ventas!$I:$I,Ventas!$C:$C,A179))</f>
        <v/>
      </c>
      <c r="R179" s="20">
        <f>IF(A179="","",SUMIFS(Pagos!$E:$E,Pagos!$C:$C,A179))</f>
        <v/>
      </c>
      <c r="S179" s="20">
        <f>IF(A179="","",Q179-R179)</f>
        <v/>
      </c>
    </row>
    <row r="180">
      <c r="A180" s="18">
        <f>IF(B180="","","A"&amp;TEXT(ROW()-1,"000"))</f>
        <v/>
      </c>
      <c r="I180" s="19" t="n"/>
      <c r="N180" s="18">
        <f>IF(A180="","",SUMIFS(Ventas!$F:$F,Ventas!$C:$C,A180))</f>
        <v/>
      </c>
      <c r="O180" s="18">
        <f>IF(A180="","",SUMIFS(Clases!$I:$I,Clases!$C:$C,A180,Clases!$J:$J,"&lt;&gt;Reprogramada"))</f>
        <v/>
      </c>
      <c r="P180" s="18">
        <f>IF(A180="","",N180-O180)</f>
        <v/>
      </c>
      <c r="Q180" s="20">
        <f>IF(A180="","",SUMIFS(Ventas!$I:$I,Ventas!$C:$C,A180))</f>
        <v/>
      </c>
      <c r="R180" s="20">
        <f>IF(A180="","",SUMIFS(Pagos!$E:$E,Pagos!$C:$C,A180))</f>
        <v/>
      </c>
      <c r="S180" s="20">
        <f>IF(A180="","",Q180-R180)</f>
        <v/>
      </c>
    </row>
    <row r="181">
      <c r="A181" s="18">
        <f>IF(B181="","","A"&amp;TEXT(ROW()-1,"000"))</f>
        <v/>
      </c>
      <c r="I181" s="19" t="n"/>
      <c r="N181" s="18">
        <f>IF(A181="","",SUMIFS(Ventas!$F:$F,Ventas!$C:$C,A181))</f>
        <v/>
      </c>
      <c r="O181" s="18">
        <f>IF(A181="","",SUMIFS(Clases!$I:$I,Clases!$C:$C,A181,Clases!$J:$J,"&lt;&gt;Reprogramada"))</f>
        <v/>
      </c>
      <c r="P181" s="18">
        <f>IF(A181="","",N181-O181)</f>
        <v/>
      </c>
      <c r="Q181" s="20">
        <f>IF(A181="","",SUMIFS(Ventas!$I:$I,Ventas!$C:$C,A181))</f>
        <v/>
      </c>
      <c r="R181" s="20">
        <f>IF(A181="","",SUMIFS(Pagos!$E:$E,Pagos!$C:$C,A181))</f>
        <v/>
      </c>
      <c r="S181" s="20">
        <f>IF(A181="","",Q181-R181)</f>
        <v/>
      </c>
    </row>
    <row r="182">
      <c r="A182" s="18">
        <f>IF(B182="","","A"&amp;TEXT(ROW()-1,"000"))</f>
        <v/>
      </c>
      <c r="I182" s="19" t="n"/>
      <c r="N182" s="18">
        <f>IF(A182="","",SUMIFS(Ventas!$F:$F,Ventas!$C:$C,A182))</f>
        <v/>
      </c>
      <c r="O182" s="18">
        <f>IF(A182="","",SUMIFS(Clases!$I:$I,Clases!$C:$C,A182,Clases!$J:$J,"&lt;&gt;Reprogramada"))</f>
        <v/>
      </c>
      <c r="P182" s="18">
        <f>IF(A182="","",N182-O182)</f>
        <v/>
      </c>
      <c r="Q182" s="20">
        <f>IF(A182="","",SUMIFS(Ventas!$I:$I,Ventas!$C:$C,A182))</f>
        <v/>
      </c>
      <c r="R182" s="20">
        <f>IF(A182="","",SUMIFS(Pagos!$E:$E,Pagos!$C:$C,A182))</f>
        <v/>
      </c>
      <c r="S182" s="20">
        <f>IF(A182="","",Q182-R182)</f>
        <v/>
      </c>
    </row>
    <row r="183">
      <c r="A183" s="18">
        <f>IF(B183="","","A"&amp;TEXT(ROW()-1,"000"))</f>
        <v/>
      </c>
      <c r="I183" s="19" t="n"/>
      <c r="N183" s="18">
        <f>IF(A183="","",SUMIFS(Ventas!$F:$F,Ventas!$C:$C,A183))</f>
        <v/>
      </c>
      <c r="O183" s="18">
        <f>IF(A183="","",SUMIFS(Clases!$I:$I,Clases!$C:$C,A183,Clases!$J:$J,"&lt;&gt;Reprogramada"))</f>
        <v/>
      </c>
      <c r="P183" s="18">
        <f>IF(A183="","",N183-O183)</f>
        <v/>
      </c>
      <c r="Q183" s="20">
        <f>IF(A183="","",SUMIFS(Ventas!$I:$I,Ventas!$C:$C,A183))</f>
        <v/>
      </c>
      <c r="R183" s="20">
        <f>IF(A183="","",SUMIFS(Pagos!$E:$E,Pagos!$C:$C,A183))</f>
        <v/>
      </c>
      <c r="S183" s="20">
        <f>IF(A183="","",Q183-R183)</f>
        <v/>
      </c>
    </row>
    <row r="184">
      <c r="A184" s="18">
        <f>IF(B184="","","A"&amp;TEXT(ROW()-1,"000"))</f>
        <v/>
      </c>
      <c r="I184" s="19" t="n"/>
      <c r="N184" s="18">
        <f>IF(A184="","",SUMIFS(Ventas!$F:$F,Ventas!$C:$C,A184))</f>
        <v/>
      </c>
      <c r="O184" s="18">
        <f>IF(A184="","",SUMIFS(Clases!$I:$I,Clases!$C:$C,A184,Clases!$J:$J,"&lt;&gt;Reprogramada"))</f>
        <v/>
      </c>
      <c r="P184" s="18">
        <f>IF(A184="","",N184-O184)</f>
        <v/>
      </c>
      <c r="Q184" s="20">
        <f>IF(A184="","",SUMIFS(Ventas!$I:$I,Ventas!$C:$C,A184))</f>
        <v/>
      </c>
      <c r="R184" s="20">
        <f>IF(A184="","",SUMIFS(Pagos!$E:$E,Pagos!$C:$C,A184))</f>
        <v/>
      </c>
      <c r="S184" s="20">
        <f>IF(A184="","",Q184-R184)</f>
        <v/>
      </c>
    </row>
    <row r="185">
      <c r="A185" s="18">
        <f>IF(B185="","","A"&amp;TEXT(ROW()-1,"000"))</f>
        <v/>
      </c>
      <c r="I185" s="19" t="n"/>
      <c r="N185" s="18">
        <f>IF(A185="","",SUMIFS(Ventas!$F:$F,Ventas!$C:$C,A185))</f>
        <v/>
      </c>
      <c r="O185" s="18">
        <f>IF(A185="","",SUMIFS(Clases!$I:$I,Clases!$C:$C,A185,Clases!$J:$J,"&lt;&gt;Reprogramada"))</f>
        <v/>
      </c>
      <c r="P185" s="18">
        <f>IF(A185="","",N185-O185)</f>
        <v/>
      </c>
      <c r="Q185" s="20">
        <f>IF(A185="","",SUMIFS(Ventas!$I:$I,Ventas!$C:$C,A185))</f>
        <v/>
      </c>
      <c r="R185" s="20">
        <f>IF(A185="","",SUMIFS(Pagos!$E:$E,Pagos!$C:$C,A185))</f>
        <v/>
      </c>
      <c r="S185" s="20">
        <f>IF(A185="","",Q185-R185)</f>
        <v/>
      </c>
    </row>
    <row r="186">
      <c r="A186" s="18">
        <f>IF(B186="","","A"&amp;TEXT(ROW()-1,"000"))</f>
        <v/>
      </c>
      <c r="I186" s="19" t="n"/>
      <c r="N186" s="18">
        <f>IF(A186="","",SUMIFS(Ventas!$F:$F,Ventas!$C:$C,A186))</f>
        <v/>
      </c>
      <c r="O186" s="18">
        <f>IF(A186="","",SUMIFS(Clases!$I:$I,Clases!$C:$C,A186,Clases!$J:$J,"&lt;&gt;Reprogramada"))</f>
        <v/>
      </c>
      <c r="P186" s="18">
        <f>IF(A186="","",N186-O186)</f>
        <v/>
      </c>
      <c r="Q186" s="20">
        <f>IF(A186="","",SUMIFS(Ventas!$I:$I,Ventas!$C:$C,A186))</f>
        <v/>
      </c>
      <c r="R186" s="20">
        <f>IF(A186="","",SUMIFS(Pagos!$E:$E,Pagos!$C:$C,A186))</f>
        <v/>
      </c>
      <c r="S186" s="20">
        <f>IF(A186="","",Q186-R186)</f>
        <v/>
      </c>
    </row>
    <row r="187">
      <c r="A187" s="18">
        <f>IF(B187="","","A"&amp;TEXT(ROW()-1,"000"))</f>
        <v/>
      </c>
      <c r="I187" s="19" t="n"/>
      <c r="N187" s="18">
        <f>IF(A187="","",SUMIFS(Ventas!$F:$F,Ventas!$C:$C,A187))</f>
        <v/>
      </c>
      <c r="O187" s="18">
        <f>IF(A187="","",SUMIFS(Clases!$I:$I,Clases!$C:$C,A187,Clases!$J:$J,"&lt;&gt;Reprogramada"))</f>
        <v/>
      </c>
      <c r="P187" s="18">
        <f>IF(A187="","",N187-O187)</f>
        <v/>
      </c>
      <c r="Q187" s="20">
        <f>IF(A187="","",SUMIFS(Ventas!$I:$I,Ventas!$C:$C,A187))</f>
        <v/>
      </c>
      <c r="R187" s="20">
        <f>IF(A187="","",SUMIFS(Pagos!$E:$E,Pagos!$C:$C,A187))</f>
        <v/>
      </c>
      <c r="S187" s="20">
        <f>IF(A187="","",Q187-R187)</f>
        <v/>
      </c>
    </row>
    <row r="188">
      <c r="A188" s="18">
        <f>IF(B188="","","A"&amp;TEXT(ROW()-1,"000"))</f>
        <v/>
      </c>
      <c r="I188" s="19" t="n"/>
      <c r="N188" s="18">
        <f>IF(A188="","",SUMIFS(Ventas!$F:$F,Ventas!$C:$C,A188))</f>
        <v/>
      </c>
      <c r="O188" s="18">
        <f>IF(A188="","",SUMIFS(Clases!$I:$I,Clases!$C:$C,A188,Clases!$J:$J,"&lt;&gt;Reprogramada"))</f>
        <v/>
      </c>
      <c r="P188" s="18">
        <f>IF(A188="","",N188-O188)</f>
        <v/>
      </c>
      <c r="Q188" s="20">
        <f>IF(A188="","",SUMIFS(Ventas!$I:$I,Ventas!$C:$C,A188))</f>
        <v/>
      </c>
      <c r="R188" s="20">
        <f>IF(A188="","",SUMIFS(Pagos!$E:$E,Pagos!$C:$C,A188))</f>
        <v/>
      </c>
      <c r="S188" s="20">
        <f>IF(A188="","",Q188-R188)</f>
        <v/>
      </c>
    </row>
    <row r="189">
      <c r="A189" s="18">
        <f>IF(B189="","","A"&amp;TEXT(ROW()-1,"000"))</f>
        <v/>
      </c>
      <c r="I189" s="19" t="n"/>
      <c r="N189" s="18">
        <f>IF(A189="","",SUMIFS(Ventas!$F:$F,Ventas!$C:$C,A189))</f>
        <v/>
      </c>
      <c r="O189" s="18">
        <f>IF(A189="","",SUMIFS(Clases!$I:$I,Clases!$C:$C,A189,Clases!$J:$J,"&lt;&gt;Reprogramada"))</f>
        <v/>
      </c>
      <c r="P189" s="18">
        <f>IF(A189="","",N189-O189)</f>
        <v/>
      </c>
      <c r="Q189" s="20">
        <f>IF(A189="","",SUMIFS(Ventas!$I:$I,Ventas!$C:$C,A189))</f>
        <v/>
      </c>
      <c r="R189" s="20">
        <f>IF(A189="","",SUMIFS(Pagos!$E:$E,Pagos!$C:$C,A189))</f>
        <v/>
      </c>
      <c r="S189" s="20">
        <f>IF(A189="","",Q189-R189)</f>
        <v/>
      </c>
    </row>
    <row r="190">
      <c r="A190" s="18">
        <f>IF(B190="","","A"&amp;TEXT(ROW()-1,"000"))</f>
        <v/>
      </c>
      <c r="I190" s="19" t="n"/>
      <c r="N190" s="18">
        <f>IF(A190="","",SUMIFS(Ventas!$F:$F,Ventas!$C:$C,A190))</f>
        <v/>
      </c>
      <c r="O190" s="18">
        <f>IF(A190="","",SUMIFS(Clases!$I:$I,Clases!$C:$C,A190,Clases!$J:$J,"&lt;&gt;Reprogramada"))</f>
        <v/>
      </c>
      <c r="P190" s="18">
        <f>IF(A190="","",N190-O190)</f>
        <v/>
      </c>
      <c r="Q190" s="20">
        <f>IF(A190="","",SUMIFS(Ventas!$I:$I,Ventas!$C:$C,A190))</f>
        <v/>
      </c>
      <c r="R190" s="20">
        <f>IF(A190="","",SUMIFS(Pagos!$E:$E,Pagos!$C:$C,A190))</f>
        <v/>
      </c>
      <c r="S190" s="20">
        <f>IF(A190="","",Q190-R190)</f>
        <v/>
      </c>
    </row>
    <row r="191">
      <c r="A191" s="18">
        <f>IF(B191="","","A"&amp;TEXT(ROW()-1,"000"))</f>
        <v/>
      </c>
      <c r="I191" s="19" t="n"/>
      <c r="N191" s="18">
        <f>IF(A191="","",SUMIFS(Ventas!$F:$F,Ventas!$C:$C,A191))</f>
        <v/>
      </c>
      <c r="O191" s="18">
        <f>IF(A191="","",SUMIFS(Clases!$I:$I,Clases!$C:$C,A191,Clases!$J:$J,"&lt;&gt;Reprogramada"))</f>
        <v/>
      </c>
      <c r="P191" s="18">
        <f>IF(A191="","",N191-O191)</f>
        <v/>
      </c>
      <c r="Q191" s="20">
        <f>IF(A191="","",SUMIFS(Ventas!$I:$I,Ventas!$C:$C,A191))</f>
        <v/>
      </c>
      <c r="R191" s="20">
        <f>IF(A191="","",SUMIFS(Pagos!$E:$E,Pagos!$C:$C,A191))</f>
        <v/>
      </c>
      <c r="S191" s="20">
        <f>IF(A191="","",Q191-R191)</f>
        <v/>
      </c>
    </row>
    <row r="192">
      <c r="A192" s="18">
        <f>IF(B192="","","A"&amp;TEXT(ROW()-1,"000"))</f>
        <v/>
      </c>
      <c r="I192" s="19" t="n"/>
      <c r="N192" s="18">
        <f>IF(A192="","",SUMIFS(Ventas!$F:$F,Ventas!$C:$C,A192))</f>
        <v/>
      </c>
      <c r="O192" s="18">
        <f>IF(A192="","",SUMIFS(Clases!$I:$I,Clases!$C:$C,A192,Clases!$J:$J,"&lt;&gt;Reprogramada"))</f>
        <v/>
      </c>
      <c r="P192" s="18">
        <f>IF(A192="","",N192-O192)</f>
        <v/>
      </c>
      <c r="Q192" s="20">
        <f>IF(A192="","",SUMIFS(Ventas!$I:$I,Ventas!$C:$C,A192))</f>
        <v/>
      </c>
      <c r="R192" s="20">
        <f>IF(A192="","",SUMIFS(Pagos!$E:$E,Pagos!$C:$C,A192))</f>
        <v/>
      </c>
      <c r="S192" s="20">
        <f>IF(A192="","",Q192-R192)</f>
        <v/>
      </c>
    </row>
    <row r="193">
      <c r="A193" s="18">
        <f>IF(B193="","","A"&amp;TEXT(ROW()-1,"000"))</f>
        <v/>
      </c>
      <c r="I193" s="19" t="n"/>
      <c r="N193" s="18">
        <f>IF(A193="","",SUMIFS(Ventas!$F:$F,Ventas!$C:$C,A193))</f>
        <v/>
      </c>
      <c r="O193" s="18">
        <f>IF(A193="","",SUMIFS(Clases!$I:$I,Clases!$C:$C,A193,Clases!$J:$J,"&lt;&gt;Reprogramada"))</f>
        <v/>
      </c>
      <c r="P193" s="18">
        <f>IF(A193="","",N193-O193)</f>
        <v/>
      </c>
      <c r="Q193" s="20">
        <f>IF(A193="","",SUMIFS(Ventas!$I:$I,Ventas!$C:$C,A193))</f>
        <v/>
      </c>
      <c r="R193" s="20">
        <f>IF(A193="","",SUMIFS(Pagos!$E:$E,Pagos!$C:$C,A193))</f>
        <v/>
      </c>
      <c r="S193" s="20">
        <f>IF(A193="","",Q193-R193)</f>
        <v/>
      </c>
    </row>
    <row r="194">
      <c r="A194" s="18">
        <f>IF(B194="","","A"&amp;TEXT(ROW()-1,"000"))</f>
        <v/>
      </c>
      <c r="I194" s="19" t="n"/>
      <c r="N194" s="18">
        <f>IF(A194="","",SUMIFS(Ventas!$F:$F,Ventas!$C:$C,A194))</f>
        <v/>
      </c>
      <c r="O194" s="18">
        <f>IF(A194="","",SUMIFS(Clases!$I:$I,Clases!$C:$C,A194,Clases!$J:$J,"&lt;&gt;Reprogramada"))</f>
        <v/>
      </c>
      <c r="P194" s="18">
        <f>IF(A194="","",N194-O194)</f>
        <v/>
      </c>
      <c r="Q194" s="20">
        <f>IF(A194="","",SUMIFS(Ventas!$I:$I,Ventas!$C:$C,A194))</f>
        <v/>
      </c>
      <c r="R194" s="20">
        <f>IF(A194="","",SUMIFS(Pagos!$E:$E,Pagos!$C:$C,A194))</f>
        <v/>
      </c>
      <c r="S194" s="20">
        <f>IF(A194="","",Q194-R194)</f>
        <v/>
      </c>
    </row>
    <row r="195">
      <c r="A195" s="18">
        <f>IF(B195="","","A"&amp;TEXT(ROW()-1,"000"))</f>
        <v/>
      </c>
      <c r="I195" s="19" t="n"/>
      <c r="N195" s="18">
        <f>IF(A195="","",SUMIFS(Ventas!$F:$F,Ventas!$C:$C,A195))</f>
        <v/>
      </c>
      <c r="O195" s="18">
        <f>IF(A195="","",SUMIFS(Clases!$I:$I,Clases!$C:$C,A195,Clases!$J:$J,"&lt;&gt;Reprogramada"))</f>
        <v/>
      </c>
      <c r="P195" s="18">
        <f>IF(A195="","",N195-O195)</f>
        <v/>
      </c>
      <c r="Q195" s="20">
        <f>IF(A195="","",SUMIFS(Ventas!$I:$I,Ventas!$C:$C,A195))</f>
        <v/>
      </c>
      <c r="R195" s="20">
        <f>IF(A195="","",SUMIFS(Pagos!$E:$E,Pagos!$C:$C,A195))</f>
        <v/>
      </c>
      <c r="S195" s="20">
        <f>IF(A195="","",Q195-R195)</f>
        <v/>
      </c>
    </row>
    <row r="196">
      <c r="A196" s="18">
        <f>IF(B196="","","A"&amp;TEXT(ROW()-1,"000"))</f>
        <v/>
      </c>
      <c r="I196" s="19" t="n"/>
      <c r="N196" s="18">
        <f>IF(A196="","",SUMIFS(Ventas!$F:$F,Ventas!$C:$C,A196))</f>
        <v/>
      </c>
      <c r="O196" s="18">
        <f>IF(A196="","",SUMIFS(Clases!$I:$I,Clases!$C:$C,A196,Clases!$J:$J,"&lt;&gt;Reprogramada"))</f>
        <v/>
      </c>
      <c r="P196" s="18">
        <f>IF(A196="","",N196-O196)</f>
        <v/>
      </c>
      <c r="Q196" s="20">
        <f>IF(A196="","",SUMIFS(Ventas!$I:$I,Ventas!$C:$C,A196))</f>
        <v/>
      </c>
      <c r="R196" s="20">
        <f>IF(A196="","",SUMIFS(Pagos!$E:$E,Pagos!$C:$C,A196))</f>
        <v/>
      </c>
      <c r="S196" s="20">
        <f>IF(A196="","",Q196-R196)</f>
        <v/>
      </c>
    </row>
    <row r="197">
      <c r="A197" s="18">
        <f>IF(B197="","","A"&amp;TEXT(ROW()-1,"000"))</f>
        <v/>
      </c>
      <c r="I197" s="19" t="n"/>
      <c r="N197" s="18">
        <f>IF(A197="","",SUMIFS(Ventas!$F:$F,Ventas!$C:$C,A197))</f>
        <v/>
      </c>
      <c r="O197" s="18">
        <f>IF(A197="","",SUMIFS(Clases!$I:$I,Clases!$C:$C,A197,Clases!$J:$J,"&lt;&gt;Reprogramada"))</f>
        <v/>
      </c>
      <c r="P197" s="18">
        <f>IF(A197="","",N197-O197)</f>
        <v/>
      </c>
      <c r="Q197" s="20">
        <f>IF(A197="","",SUMIFS(Ventas!$I:$I,Ventas!$C:$C,A197))</f>
        <v/>
      </c>
      <c r="R197" s="20">
        <f>IF(A197="","",SUMIFS(Pagos!$E:$E,Pagos!$C:$C,A197))</f>
        <v/>
      </c>
      <c r="S197" s="20">
        <f>IF(A197="","",Q197-R197)</f>
        <v/>
      </c>
    </row>
    <row r="198">
      <c r="A198" s="18">
        <f>IF(B198="","","A"&amp;TEXT(ROW()-1,"000"))</f>
        <v/>
      </c>
      <c r="I198" s="19" t="n"/>
      <c r="N198" s="18">
        <f>IF(A198="","",SUMIFS(Ventas!$F:$F,Ventas!$C:$C,A198))</f>
        <v/>
      </c>
      <c r="O198" s="18">
        <f>IF(A198="","",SUMIFS(Clases!$I:$I,Clases!$C:$C,A198,Clases!$J:$J,"&lt;&gt;Reprogramada"))</f>
        <v/>
      </c>
      <c r="P198" s="18">
        <f>IF(A198="","",N198-O198)</f>
        <v/>
      </c>
      <c r="Q198" s="20">
        <f>IF(A198="","",SUMIFS(Ventas!$I:$I,Ventas!$C:$C,A198))</f>
        <v/>
      </c>
      <c r="R198" s="20">
        <f>IF(A198="","",SUMIFS(Pagos!$E:$E,Pagos!$C:$C,A198))</f>
        <v/>
      </c>
      <c r="S198" s="20">
        <f>IF(A198="","",Q198-R198)</f>
        <v/>
      </c>
    </row>
    <row r="199">
      <c r="A199" s="18">
        <f>IF(B199="","","A"&amp;TEXT(ROW()-1,"000"))</f>
        <v/>
      </c>
      <c r="I199" s="19" t="n"/>
      <c r="N199" s="18">
        <f>IF(A199="","",SUMIFS(Ventas!$F:$F,Ventas!$C:$C,A199))</f>
        <v/>
      </c>
      <c r="O199" s="18">
        <f>IF(A199="","",SUMIFS(Clases!$I:$I,Clases!$C:$C,A199,Clases!$J:$J,"&lt;&gt;Reprogramada"))</f>
        <v/>
      </c>
      <c r="P199" s="18">
        <f>IF(A199="","",N199-O199)</f>
        <v/>
      </c>
      <c r="Q199" s="20">
        <f>IF(A199="","",SUMIFS(Ventas!$I:$I,Ventas!$C:$C,A199))</f>
        <v/>
      </c>
      <c r="R199" s="20">
        <f>IF(A199="","",SUMIFS(Pagos!$E:$E,Pagos!$C:$C,A199))</f>
        <v/>
      </c>
      <c r="S199" s="20">
        <f>IF(A199="","",Q199-R199)</f>
        <v/>
      </c>
    </row>
    <row r="200">
      <c r="A200" s="18">
        <f>IF(B200="","","A"&amp;TEXT(ROW()-1,"000"))</f>
        <v/>
      </c>
      <c r="I200" s="19" t="n"/>
      <c r="N200" s="18">
        <f>IF(A200="","",SUMIFS(Ventas!$F:$F,Ventas!$C:$C,A200))</f>
        <v/>
      </c>
      <c r="O200" s="18">
        <f>IF(A200="","",SUMIFS(Clases!$I:$I,Clases!$C:$C,A200,Clases!$J:$J,"&lt;&gt;Reprogramada"))</f>
        <v/>
      </c>
      <c r="P200" s="18">
        <f>IF(A200="","",N200-O200)</f>
        <v/>
      </c>
      <c r="Q200" s="20">
        <f>IF(A200="","",SUMIFS(Ventas!$I:$I,Ventas!$C:$C,A200))</f>
        <v/>
      </c>
      <c r="R200" s="20">
        <f>IF(A200="","",SUMIFS(Pagos!$E:$E,Pagos!$C:$C,A200))</f>
        <v/>
      </c>
      <c r="S200" s="20">
        <f>IF(A200="","",Q200-R200)</f>
        <v/>
      </c>
    </row>
    <row r="201">
      <c r="A201" s="18">
        <f>IF(B201="","","A"&amp;TEXT(ROW()-1,"000"))</f>
        <v/>
      </c>
      <c r="I201" s="19" t="n"/>
      <c r="N201" s="18">
        <f>IF(A201="","",SUMIFS(Ventas!$F:$F,Ventas!$C:$C,A201))</f>
        <v/>
      </c>
      <c r="O201" s="18">
        <f>IF(A201="","",SUMIFS(Clases!$I:$I,Clases!$C:$C,A201,Clases!$J:$J,"&lt;&gt;Reprogramada"))</f>
        <v/>
      </c>
      <c r="P201" s="18">
        <f>IF(A201="","",N201-O201)</f>
        <v/>
      </c>
      <c r="Q201" s="20">
        <f>IF(A201="","",SUMIFS(Ventas!$I:$I,Ventas!$C:$C,A201))</f>
        <v/>
      </c>
      <c r="R201" s="20">
        <f>IF(A201="","",SUMIFS(Pagos!$E:$E,Pagos!$C:$C,A201))</f>
        <v/>
      </c>
      <c r="S201" s="20">
        <f>IF(A201="","",Q201-R201)</f>
        <v/>
      </c>
    </row>
    <row r="202">
      <c r="A202" s="18">
        <f>IF(B202="","","A"&amp;TEXT(ROW()-1,"000"))</f>
        <v/>
      </c>
      <c r="I202" s="19" t="n"/>
      <c r="N202" s="18">
        <f>IF(A202="","",SUMIFS(Ventas!$F:$F,Ventas!$C:$C,A202))</f>
        <v/>
      </c>
      <c r="O202" s="18">
        <f>IF(A202="","",SUMIFS(Clases!$I:$I,Clases!$C:$C,A202,Clases!$J:$J,"&lt;&gt;Reprogramada"))</f>
        <v/>
      </c>
      <c r="P202" s="18">
        <f>IF(A202="","",N202-O202)</f>
        <v/>
      </c>
      <c r="Q202" s="20">
        <f>IF(A202="","",SUMIFS(Ventas!$I:$I,Ventas!$C:$C,A202))</f>
        <v/>
      </c>
      <c r="R202" s="20">
        <f>IF(A202="","",SUMIFS(Pagos!$E:$E,Pagos!$C:$C,A202))</f>
        <v/>
      </c>
      <c r="S202" s="20">
        <f>IF(A202="","",Q202-R202)</f>
        <v/>
      </c>
    </row>
    <row r="203">
      <c r="A203" s="18">
        <f>IF(B203="","","A"&amp;TEXT(ROW()-1,"000"))</f>
        <v/>
      </c>
      <c r="I203" s="19" t="n"/>
      <c r="N203" s="18">
        <f>IF(A203="","",SUMIFS(Ventas!$F:$F,Ventas!$C:$C,A203))</f>
        <v/>
      </c>
      <c r="O203" s="18">
        <f>IF(A203="","",SUMIFS(Clases!$I:$I,Clases!$C:$C,A203,Clases!$J:$J,"&lt;&gt;Reprogramada"))</f>
        <v/>
      </c>
      <c r="P203" s="18">
        <f>IF(A203="","",N203-O203)</f>
        <v/>
      </c>
      <c r="Q203" s="20">
        <f>IF(A203="","",SUMIFS(Ventas!$I:$I,Ventas!$C:$C,A203))</f>
        <v/>
      </c>
      <c r="R203" s="20">
        <f>IF(A203="","",SUMIFS(Pagos!$E:$E,Pagos!$C:$C,A203))</f>
        <v/>
      </c>
      <c r="S203" s="20">
        <f>IF(A203="","",Q203-R203)</f>
        <v/>
      </c>
    </row>
    <row r="204">
      <c r="A204" s="18">
        <f>IF(B204="","","A"&amp;TEXT(ROW()-1,"000"))</f>
        <v/>
      </c>
      <c r="I204" s="19" t="n"/>
      <c r="N204" s="18">
        <f>IF(A204="","",SUMIFS(Ventas!$F:$F,Ventas!$C:$C,A204))</f>
        <v/>
      </c>
      <c r="O204" s="18">
        <f>IF(A204="","",SUMIFS(Clases!$I:$I,Clases!$C:$C,A204,Clases!$J:$J,"&lt;&gt;Reprogramada"))</f>
        <v/>
      </c>
      <c r="P204" s="18">
        <f>IF(A204="","",N204-O204)</f>
        <v/>
      </c>
      <c r="Q204" s="20">
        <f>IF(A204="","",SUMIFS(Ventas!$I:$I,Ventas!$C:$C,A204))</f>
        <v/>
      </c>
      <c r="R204" s="20">
        <f>IF(A204="","",SUMIFS(Pagos!$E:$E,Pagos!$C:$C,A204))</f>
        <v/>
      </c>
      <c r="S204" s="20">
        <f>IF(A204="","",Q204-R204)</f>
        <v/>
      </c>
    </row>
    <row r="205">
      <c r="A205" s="18">
        <f>IF(B205="","","A"&amp;TEXT(ROW()-1,"000"))</f>
        <v/>
      </c>
      <c r="I205" s="19" t="n"/>
      <c r="N205" s="18">
        <f>IF(A205="","",SUMIFS(Ventas!$F:$F,Ventas!$C:$C,A205))</f>
        <v/>
      </c>
      <c r="O205" s="18">
        <f>IF(A205="","",SUMIFS(Clases!$I:$I,Clases!$C:$C,A205,Clases!$J:$J,"&lt;&gt;Reprogramada"))</f>
        <v/>
      </c>
      <c r="P205" s="18">
        <f>IF(A205="","",N205-O205)</f>
        <v/>
      </c>
      <c r="Q205" s="20">
        <f>IF(A205="","",SUMIFS(Ventas!$I:$I,Ventas!$C:$C,A205))</f>
        <v/>
      </c>
      <c r="R205" s="20">
        <f>IF(A205="","",SUMIFS(Pagos!$E:$E,Pagos!$C:$C,A205))</f>
        <v/>
      </c>
      <c r="S205" s="20">
        <f>IF(A205="","",Q205-R205)</f>
        <v/>
      </c>
    </row>
    <row r="206">
      <c r="A206" s="18">
        <f>IF(B206="","","A"&amp;TEXT(ROW()-1,"000"))</f>
        <v/>
      </c>
      <c r="I206" s="19" t="n"/>
      <c r="N206" s="18">
        <f>IF(A206="","",SUMIFS(Ventas!$F:$F,Ventas!$C:$C,A206))</f>
        <v/>
      </c>
      <c r="O206" s="18">
        <f>IF(A206="","",SUMIFS(Clases!$I:$I,Clases!$C:$C,A206,Clases!$J:$J,"&lt;&gt;Reprogramada"))</f>
        <v/>
      </c>
      <c r="P206" s="18">
        <f>IF(A206="","",N206-O206)</f>
        <v/>
      </c>
      <c r="Q206" s="20">
        <f>IF(A206="","",SUMIFS(Ventas!$I:$I,Ventas!$C:$C,A206))</f>
        <v/>
      </c>
      <c r="R206" s="20">
        <f>IF(A206="","",SUMIFS(Pagos!$E:$E,Pagos!$C:$C,A206))</f>
        <v/>
      </c>
      <c r="S206" s="20">
        <f>IF(A206="","",Q206-R206)</f>
        <v/>
      </c>
    </row>
    <row r="207">
      <c r="A207" s="18">
        <f>IF(B207="","","A"&amp;TEXT(ROW()-1,"000"))</f>
        <v/>
      </c>
      <c r="I207" s="19" t="n"/>
      <c r="N207" s="18">
        <f>IF(A207="","",SUMIFS(Ventas!$F:$F,Ventas!$C:$C,A207))</f>
        <v/>
      </c>
      <c r="O207" s="18">
        <f>IF(A207="","",SUMIFS(Clases!$I:$I,Clases!$C:$C,A207,Clases!$J:$J,"&lt;&gt;Reprogramada"))</f>
        <v/>
      </c>
      <c r="P207" s="18">
        <f>IF(A207="","",N207-O207)</f>
        <v/>
      </c>
      <c r="Q207" s="20">
        <f>IF(A207="","",SUMIFS(Ventas!$I:$I,Ventas!$C:$C,A207))</f>
        <v/>
      </c>
      <c r="R207" s="20">
        <f>IF(A207="","",SUMIFS(Pagos!$E:$E,Pagos!$C:$C,A207))</f>
        <v/>
      </c>
      <c r="S207" s="20">
        <f>IF(A207="","",Q207-R207)</f>
        <v/>
      </c>
    </row>
    <row r="208">
      <c r="A208" s="18">
        <f>IF(B208="","","A"&amp;TEXT(ROW()-1,"000"))</f>
        <v/>
      </c>
      <c r="I208" s="19" t="n"/>
      <c r="N208" s="18">
        <f>IF(A208="","",SUMIFS(Ventas!$F:$F,Ventas!$C:$C,A208))</f>
        <v/>
      </c>
      <c r="O208" s="18">
        <f>IF(A208="","",SUMIFS(Clases!$I:$I,Clases!$C:$C,A208,Clases!$J:$J,"&lt;&gt;Reprogramada"))</f>
        <v/>
      </c>
      <c r="P208" s="18">
        <f>IF(A208="","",N208-O208)</f>
        <v/>
      </c>
      <c r="Q208" s="20">
        <f>IF(A208="","",SUMIFS(Ventas!$I:$I,Ventas!$C:$C,A208))</f>
        <v/>
      </c>
      <c r="R208" s="20">
        <f>IF(A208="","",SUMIFS(Pagos!$E:$E,Pagos!$C:$C,A208))</f>
        <v/>
      </c>
      <c r="S208" s="20">
        <f>IF(A208="","",Q208-R208)</f>
        <v/>
      </c>
    </row>
    <row r="209">
      <c r="A209" s="18">
        <f>IF(B209="","","A"&amp;TEXT(ROW()-1,"000"))</f>
        <v/>
      </c>
      <c r="I209" s="19" t="n"/>
      <c r="N209" s="18">
        <f>IF(A209="","",SUMIFS(Ventas!$F:$F,Ventas!$C:$C,A209))</f>
        <v/>
      </c>
      <c r="O209" s="18">
        <f>IF(A209="","",SUMIFS(Clases!$I:$I,Clases!$C:$C,A209,Clases!$J:$J,"&lt;&gt;Reprogramada"))</f>
        <v/>
      </c>
      <c r="P209" s="18">
        <f>IF(A209="","",N209-O209)</f>
        <v/>
      </c>
      <c r="Q209" s="20">
        <f>IF(A209="","",SUMIFS(Ventas!$I:$I,Ventas!$C:$C,A209))</f>
        <v/>
      </c>
      <c r="R209" s="20">
        <f>IF(A209="","",SUMIFS(Pagos!$E:$E,Pagos!$C:$C,A209))</f>
        <v/>
      </c>
      <c r="S209" s="20">
        <f>IF(A209="","",Q209-R209)</f>
        <v/>
      </c>
    </row>
    <row r="210">
      <c r="A210" s="18">
        <f>IF(B210="","","A"&amp;TEXT(ROW()-1,"000"))</f>
        <v/>
      </c>
      <c r="I210" s="19" t="n"/>
      <c r="N210" s="18">
        <f>IF(A210="","",SUMIFS(Ventas!$F:$F,Ventas!$C:$C,A210))</f>
        <v/>
      </c>
      <c r="O210" s="18">
        <f>IF(A210="","",SUMIFS(Clases!$I:$I,Clases!$C:$C,A210,Clases!$J:$J,"&lt;&gt;Reprogramada"))</f>
        <v/>
      </c>
      <c r="P210" s="18">
        <f>IF(A210="","",N210-O210)</f>
        <v/>
      </c>
      <c r="Q210" s="20">
        <f>IF(A210="","",SUMIFS(Ventas!$I:$I,Ventas!$C:$C,A210))</f>
        <v/>
      </c>
      <c r="R210" s="20">
        <f>IF(A210="","",SUMIFS(Pagos!$E:$E,Pagos!$C:$C,A210))</f>
        <v/>
      </c>
      <c r="S210" s="20">
        <f>IF(A210="","",Q210-R210)</f>
        <v/>
      </c>
    </row>
    <row r="211">
      <c r="A211" s="18">
        <f>IF(B211="","","A"&amp;TEXT(ROW()-1,"000"))</f>
        <v/>
      </c>
      <c r="I211" s="19" t="n"/>
      <c r="N211" s="18">
        <f>IF(A211="","",SUMIFS(Ventas!$F:$F,Ventas!$C:$C,A211))</f>
        <v/>
      </c>
      <c r="O211" s="18">
        <f>IF(A211="","",SUMIFS(Clases!$I:$I,Clases!$C:$C,A211,Clases!$J:$J,"&lt;&gt;Reprogramada"))</f>
        <v/>
      </c>
      <c r="P211" s="18">
        <f>IF(A211="","",N211-O211)</f>
        <v/>
      </c>
      <c r="Q211" s="20">
        <f>IF(A211="","",SUMIFS(Ventas!$I:$I,Ventas!$C:$C,A211))</f>
        <v/>
      </c>
      <c r="R211" s="20">
        <f>IF(A211="","",SUMIFS(Pagos!$E:$E,Pagos!$C:$C,A211))</f>
        <v/>
      </c>
      <c r="S211" s="20">
        <f>IF(A211="","",Q211-R211)</f>
        <v/>
      </c>
    </row>
    <row r="212">
      <c r="A212" s="18">
        <f>IF(B212="","","A"&amp;TEXT(ROW()-1,"000"))</f>
        <v/>
      </c>
      <c r="I212" s="19" t="n"/>
      <c r="N212" s="18">
        <f>IF(A212="","",SUMIFS(Ventas!$F:$F,Ventas!$C:$C,A212))</f>
        <v/>
      </c>
      <c r="O212" s="18">
        <f>IF(A212="","",SUMIFS(Clases!$I:$I,Clases!$C:$C,A212,Clases!$J:$J,"&lt;&gt;Reprogramada"))</f>
        <v/>
      </c>
      <c r="P212" s="18">
        <f>IF(A212="","",N212-O212)</f>
        <v/>
      </c>
      <c r="Q212" s="20">
        <f>IF(A212="","",SUMIFS(Ventas!$I:$I,Ventas!$C:$C,A212))</f>
        <v/>
      </c>
      <c r="R212" s="20">
        <f>IF(A212="","",SUMIFS(Pagos!$E:$E,Pagos!$C:$C,A212))</f>
        <v/>
      </c>
      <c r="S212" s="20">
        <f>IF(A212="","",Q212-R212)</f>
        <v/>
      </c>
    </row>
    <row r="213">
      <c r="A213" s="18">
        <f>IF(B213="","","A"&amp;TEXT(ROW()-1,"000"))</f>
        <v/>
      </c>
      <c r="I213" s="19" t="n"/>
      <c r="N213" s="18">
        <f>IF(A213="","",SUMIFS(Ventas!$F:$F,Ventas!$C:$C,A213))</f>
        <v/>
      </c>
      <c r="O213" s="18">
        <f>IF(A213="","",SUMIFS(Clases!$I:$I,Clases!$C:$C,A213,Clases!$J:$J,"&lt;&gt;Reprogramada"))</f>
        <v/>
      </c>
      <c r="P213" s="18">
        <f>IF(A213="","",N213-O213)</f>
        <v/>
      </c>
      <c r="Q213" s="20">
        <f>IF(A213="","",SUMIFS(Ventas!$I:$I,Ventas!$C:$C,A213))</f>
        <v/>
      </c>
      <c r="R213" s="20">
        <f>IF(A213="","",SUMIFS(Pagos!$E:$E,Pagos!$C:$C,A213))</f>
        <v/>
      </c>
      <c r="S213" s="20">
        <f>IF(A213="","",Q213-R213)</f>
        <v/>
      </c>
    </row>
    <row r="214">
      <c r="A214" s="18">
        <f>IF(B214="","","A"&amp;TEXT(ROW()-1,"000"))</f>
        <v/>
      </c>
      <c r="I214" s="19" t="n"/>
      <c r="N214" s="18">
        <f>IF(A214="","",SUMIFS(Ventas!$F:$F,Ventas!$C:$C,A214))</f>
        <v/>
      </c>
      <c r="O214" s="18">
        <f>IF(A214="","",SUMIFS(Clases!$I:$I,Clases!$C:$C,A214,Clases!$J:$J,"&lt;&gt;Reprogramada"))</f>
        <v/>
      </c>
      <c r="P214" s="18">
        <f>IF(A214="","",N214-O214)</f>
        <v/>
      </c>
      <c r="Q214" s="20">
        <f>IF(A214="","",SUMIFS(Ventas!$I:$I,Ventas!$C:$C,A214))</f>
        <v/>
      </c>
      <c r="R214" s="20">
        <f>IF(A214="","",SUMIFS(Pagos!$E:$E,Pagos!$C:$C,A214))</f>
        <v/>
      </c>
      <c r="S214" s="20">
        <f>IF(A214="","",Q214-R214)</f>
        <v/>
      </c>
    </row>
    <row r="215">
      <c r="A215" s="18">
        <f>IF(B215="","","A"&amp;TEXT(ROW()-1,"000"))</f>
        <v/>
      </c>
      <c r="I215" s="19" t="n"/>
      <c r="N215" s="18">
        <f>IF(A215="","",SUMIFS(Ventas!$F:$F,Ventas!$C:$C,A215))</f>
        <v/>
      </c>
      <c r="O215" s="18">
        <f>IF(A215="","",SUMIFS(Clases!$I:$I,Clases!$C:$C,A215,Clases!$J:$J,"&lt;&gt;Reprogramada"))</f>
        <v/>
      </c>
      <c r="P215" s="18">
        <f>IF(A215="","",N215-O215)</f>
        <v/>
      </c>
      <c r="Q215" s="20">
        <f>IF(A215="","",SUMIFS(Ventas!$I:$I,Ventas!$C:$C,A215))</f>
        <v/>
      </c>
      <c r="R215" s="20">
        <f>IF(A215="","",SUMIFS(Pagos!$E:$E,Pagos!$C:$C,A215))</f>
        <v/>
      </c>
      <c r="S215" s="20">
        <f>IF(A215="","",Q215-R215)</f>
        <v/>
      </c>
    </row>
    <row r="216">
      <c r="A216" s="18">
        <f>IF(B216="","","A"&amp;TEXT(ROW()-1,"000"))</f>
        <v/>
      </c>
      <c r="I216" s="19" t="n"/>
      <c r="N216" s="18">
        <f>IF(A216="","",SUMIFS(Ventas!$F:$F,Ventas!$C:$C,A216))</f>
        <v/>
      </c>
      <c r="O216" s="18">
        <f>IF(A216="","",SUMIFS(Clases!$I:$I,Clases!$C:$C,A216,Clases!$J:$J,"&lt;&gt;Reprogramada"))</f>
        <v/>
      </c>
      <c r="P216" s="18">
        <f>IF(A216="","",N216-O216)</f>
        <v/>
      </c>
      <c r="Q216" s="20">
        <f>IF(A216="","",SUMIFS(Ventas!$I:$I,Ventas!$C:$C,A216))</f>
        <v/>
      </c>
      <c r="R216" s="20">
        <f>IF(A216="","",SUMIFS(Pagos!$E:$E,Pagos!$C:$C,A216))</f>
        <v/>
      </c>
      <c r="S216" s="20">
        <f>IF(A216="","",Q216-R216)</f>
        <v/>
      </c>
    </row>
    <row r="217">
      <c r="A217" s="18">
        <f>IF(B217="","","A"&amp;TEXT(ROW()-1,"000"))</f>
        <v/>
      </c>
      <c r="I217" s="19" t="n"/>
      <c r="N217" s="18">
        <f>IF(A217="","",SUMIFS(Ventas!$F:$F,Ventas!$C:$C,A217))</f>
        <v/>
      </c>
      <c r="O217" s="18">
        <f>IF(A217="","",SUMIFS(Clases!$I:$I,Clases!$C:$C,A217,Clases!$J:$J,"&lt;&gt;Reprogramada"))</f>
        <v/>
      </c>
      <c r="P217" s="18">
        <f>IF(A217="","",N217-O217)</f>
        <v/>
      </c>
      <c r="Q217" s="20">
        <f>IF(A217="","",SUMIFS(Ventas!$I:$I,Ventas!$C:$C,A217))</f>
        <v/>
      </c>
      <c r="R217" s="20">
        <f>IF(A217="","",SUMIFS(Pagos!$E:$E,Pagos!$C:$C,A217))</f>
        <v/>
      </c>
      <c r="S217" s="20">
        <f>IF(A217="","",Q217-R217)</f>
        <v/>
      </c>
    </row>
    <row r="218">
      <c r="A218" s="18">
        <f>IF(B218="","","A"&amp;TEXT(ROW()-1,"000"))</f>
        <v/>
      </c>
      <c r="I218" s="19" t="n"/>
      <c r="N218" s="18">
        <f>IF(A218="","",SUMIFS(Ventas!$F:$F,Ventas!$C:$C,A218))</f>
        <v/>
      </c>
      <c r="O218" s="18">
        <f>IF(A218="","",SUMIFS(Clases!$I:$I,Clases!$C:$C,A218,Clases!$J:$J,"&lt;&gt;Reprogramada"))</f>
        <v/>
      </c>
      <c r="P218" s="18">
        <f>IF(A218="","",N218-O218)</f>
        <v/>
      </c>
      <c r="Q218" s="20">
        <f>IF(A218="","",SUMIFS(Ventas!$I:$I,Ventas!$C:$C,A218))</f>
        <v/>
      </c>
      <c r="R218" s="20">
        <f>IF(A218="","",SUMIFS(Pagos!$E:$E,Pagos!$C:$C,A218))</f>
        <v/>
      </c>
      <c r="S218" s="20">
        <f>IF(A218="","",Q218-R218)</f>
        <v/>
      </c>
    </row>
    <row r="219">
      <c r="A219" s="18">
        <f>IF(B219="","","A"&amp;TEXT(ROW()-1,"000"))</f>
        <v/>
      </c>
      <c r="I219" s="19" t="n"/>
      <c r="N219" s="18">
        <f>IF(A219="","",SUMIFS(Ventas!$F:$F,Ventas!$C:$C,A219))</f>
        <v/>
      </c>
      <c r="O219" s="18">
        <f>IF(A219="","",SUMIFS(Clases!$I:$I,Clases!$C:$C,A219,Clases!$J:$J,"&lt;&gt;Reprogramada"))</f>
        <v/>
      </c>
      <c r="P219" s="18">
        <f>IF(A219="","",N219-O219)</f>
        <v/>
      </c>
      <c r="Q219" s="20">
        <f>IF(A219="","",SUMIFS(Ventas!$I:$I,Ventas!$C:$C,A219))</f>
        <v/>
      </c>
      <c r="R219" s="20">
        <f>IF(A219="","",SUMIFS(Pagos!$E:$E,Pagos!$C:$C,A219))</f>
        <v/>
      </c>
      <c r="S219" s="20">
        <f>IF(A219="","",Q219-R219)</f>
        <v/>
      </c>
    </row>
    <row r="220">
      <c r="A220" s="18">
        <f>IF(B220="","","A"&amp;TEXT(ROW()-1,"000"))</f>
        <v/>
      </c>
      <c r="I220" s="19" t="n"/>
      <c r="N220" s="18">
        <f>IF(A220="","",SUMIFS(Ventas!$F:$F,Ventas!$C:$C,A220))</f>
        <v/>
      </c>
      <c r="O220" s="18">
        <f>IF(A220="","",SUMIFS(Clases!$I:$I,Clases!$C:$C,A220,Clases!$J:$J,"&lt;&gt;Reprogramada"))</f>
        <v/>
      </c>
      <c r="P220" s="18">
        <f>IF(A220="","",N220-O220)</f>
        <v/>
      </c>
      <c r="Q220" s="20">
        <f>IF(A220="","",SUMIFS(Ventas!$I:$I,Ventas!$C:$C,A220))</f>
        <v/>
      </c>
      <c r="R220" s="20">
        <f>IF(A220="","",SUMIFS(Pagos!$E:$E,Pagos!$C:$C,A220))</f>
        <v/>
      </c>
      <c r="S220" s="20">
        <f>IF(A220="","",Q220-R220)</f>
        <v/>
      </c>
    </row>
    <row r="221">
      <c r="A221" s="18">
        <f>IF(B221="","","A"&amp;TEXT(ROW()-1,"000"))</f>
        <v/>
      </c>
      <c r="I221" s="19" t="n"/>
      <c r="N221" s="18">
        <f>IF(A221="","",SUMIFS(Ventas!$F:$F,Ventas!$C:$C,A221))</f>
        <v/>
      </c>
      <c r="O221" s="18">
        <f>IF(A221="","",SUMIFS(Clases!$I:$I,Clases!$C:$C,A221,Clases!$J:$J,"&lt;&gt;Reprogramada"))</f>
        <v/>
      </c>
      <c r="P221" s="18">
        <f>IF(A221="","",N221-O221)</f>
        <v/>
      </c>
      <c r="Q221" s="20">
        <f>IF(A221="","",SUMIFS(Ventas!$I:$I,Ventas!$C:$C,A221))</f>
        <v/>
      </c>
      <c r="R221" s="20">
        <f>IF(A221="","",SUMIFS(Pagos!$E:$E,Pagos!$C:$C,A221))</f>
        <v/>
      </c>
      <c r="S221" s="20">
        <f>IF(A221="","",Q221-R221)</f>
        <v/>
      </c>
    </row>
    <row r="222">
      <c r="A222" s="18">
        <f>IF(B222="","","A"&amp;TEXT(ROW()-1,"000"))</f>
        <v/>
      </c>
      <c r="I222" s="19" t="n"/>
      <c r="N222" s="18">
        <f>IF(A222="","",SUMIFS(Ventas!$F:$F,Ventas!$C:$C,A222))</f>
        <v/>
      </c>
      <c r="O222" s="18">
        <f>IF(A222="","",SUMIFS(Clases!$I:$I,Clases!$C:$C,A222,Clases!$J:$J,"&lt;&gt;Reprogramada"))</f>
        <v/>
      </c>
      <c r="P222" s="18">
        <f>IF(A222="","",N222-O222)</f>
        <v/>
      </c>
      <c r="Q222" s="20">
        <f>IF(A222="","",SUMIFS(Ventas!$I:$I,Ventas!$C:$C,A222))</f>
        <v/>
      </c>
      <c r="R222" s="20">
        <f>IF(A222="","",SUMIFS(Pagos!$E:$E,Pagos!$C:$C,A222))</f>
        <v/>
      </c>
      <c r="S222" s="20">
        <f>IF(A222="","",Q222-R222)</f>
        <v/>
      </c>
    </row>
    <row r="223">
      <c r="A223" s="18">
        <f>IF(B223="","","A"&amp;TEXT(ROW()-1,"000"))</f>
        <v/>
      </c>
      <c r="I223" s="19" t="n"/>
      <c r="N223" s="18">
        <f>IF(A223="","",SUMIFS(Ventas!$F:$F,Ventas!$C:$C,A223))</f>
        <v/>
      </c>
      <c r="O223" s="18">
        <f>IF(A223="","",SUMIFS(Clases!$I:$I,Clases!$C:$C,A223,Clases!$J:$J,"&lt;&gt;Reprogramada"))</f>
        <v/>
      </c>
      <c r="P223" s="18">
        <f>IF(A223="","",N223-O223)</f>
        <v/>
      </c>
      <c r="Q223" s="20">
        <f>IF(A223="","",SUMIFS(Ventas!$I:$I,Ventas!$C:$C,A223))</f>
        <v/>
      </c>
      <c r="R223" s="20">
        <f>IF(A223="","",SUMIFS(Pagos!$E:$E,Pagos!$C:$C,A223))</f>
        <v/>
      </c>
      <c r="S223" s="20">
        <f>IF(A223="","",Q223-R223)</f>
        <v/>
      </c>
    </row>
    <row r="224">
      <c r="A224" s="18">
        <f>IF(B224="","","A"&amp;TEXT(ROW()-1,"000"))</f>
        <v/>
      </c>
      <c r="I224" s="19" t="n"/>
      <c r="N224" s="18">
        <f>IF(A224="","",SUMIFS(Ventas!$F:$F,Ventas!$C:$C,A224))</f>
        <v/>
      </c>
      <c r="O224" s="18">
        <f>IF(A224="","",SUMIFS(Clases!$I:$I,Clases!$C:$C,A224,Clases!$J:$J,"&lt;&gt;Reprogramada"))</f>
        <v/>
      </c>
      <c r="P224" s="18">
        <f>IF(A224="","",N224-O224)</f>
        <v/>
      </c>
      <c r="Q224" s="20">
        <f>IF(A224="","",SUMIFS(Ventas!$I:$I,Ventas!$C:$C,A224))</f>
        <v/>
      </c>
      <c r="R224" s="20">
        <f>IF(A224="","",SUMIFS(Pagos!$E:$E,Pagos!$C:$C,A224))</f>
        <v/>
      </c>
      <c r="S224" s="20">
        <f>IF(A224="","",Q224-R224)</f>
        <v/>
      </c>
    </row>
    <row r="225">
      <c r="A225" s="18">
        <f>IF(B225="","","A"&amp;TEXT(ROW()-1,"000"))</f>
        <v/>
      </c>
      <c r="I225" s="19" t="n"/>
      <c r="N225" s="18">
        <f>IF(A225="","",SUMIFS(Ventas!$F:$F,Ventas!$C:$C,A225))</f>
        <v/>
      </c>
      <c r="O225" s="18">
        <f>IF(A225="","",SUMIFS(Clases!$I:$I,Clases!$C:$C,A225,Clases!$J:$J,"&lt;&gt;Reprogramada"))</f>
        <v/>
      </c>
      <c r="P225" s="18">
        <f>IF(A225="","",N225-O225)</f>
        <v/>
      </c>
      <c r="Q225" s="20">
        <f>IF(A225="","",SUMIFS(Ventas!$I:$I,Ventas!$C:$C,A225))</f>
        <v/>
      </c>
      <c r="R225" s="20">
        <f>IF(A225="","",SUMIFS(Pagos!$E:$E,Pagos!$C:$C,A225))</f>
        <v/>
      </c>
      <c r="S225" s="20">
        <f>IF(A225="","",Q225-R225)</f>
        <v/>
      </c>
    </row>
    <row r="226">
      <c r="A226" s="18">
        <f>IF(B226="","","A"&amp;TEXT(ROW()-1,"000"))</f>
        <v/>
      </c>
      <c r="I226" s="19" t="n"/>
      <c r="N226" s="18">
        <f>IF(A226="","",SUMIFS(Ventas!$F:$F,Ventas!$C:$C,A226))</f>
        <v/>
      </c>
      <c r="O226" s="18">
        <f>IF(A226="","",SUMIFS(Clases!$I:$I,Clases!$C:$C,A226,Clases!$J:$J,"&lt;&gt;Reprogramada"))</f>
        <v/>
      </c>
      <c r="P226" s="18">
        <f>IF(A226="","",N226-O226)</f>
        <v/>
      </c>
      <c r="Q226" s="20">
        <f>IF(A226="","",SUMIFS(Ventas!$I:$I,Ventas!$C:$C,A226))</f>
        <v/>
      </c>
      <c r="R226" s="20">
        <f>IF(A226="","",SUMIFS(Pagos!$E:$E,Pagos!$C:$C,A226))</f>
        <v/>
      </c>
      <c r="S226" s="20">
        <f>IF(A226="","",Q226-R226)</f>
        <v/>
      </c>
    </row>
    <row r="227">
      <c r="A227" s="18">
        <f>IF(B227="","","A"&amp;TEXT(ROW()-1,"000"))</f>
        <v/>
      </c>
      <c r="I227" s="19" t="n"/>
      <c r="N227" s="18">
        <f>IF(A227="","",SUMIFS(Ventas!$F:$F,Ventas!$C:$C,A227))</f>
        <v/>
      </c>
      <c r="O227" s="18">
        <f>IF(A227="","",SUMIFS(Clases!$I:$I,Clases!$C:$C,A227,Clases!$J:$J,"&lt;&gt;Reprogramada"))</f>
        <v/>
      </c>
      <c r="P227" s="18">
        <f>IF(A227="","",N227-O227)</f>
        <v/>
      </c>
      <c r="Q227" s="20">
        <f>IF(A227="","",SUMIFS(Ventas!$I:$I,Ventas!$C:$C,A227))</f>
        <v/>
      </c>
      <c r="R227" s="20">
        <f>IF(A227="","",SUMIFS(Pagos!$E:$E,Pagos!$C:$C,A227))</f>
        <v/>
      </c>
      <c r="S227" s="20">
        <f>IF(A227="","",Q227-R227)</f>
        <v/>
      </c>
    </row>
    <row r="228">
      <c r="A228" s="18">
        <f>IF(B228="","","A"&amp;TEXT(ROW()-1,"000"))</f>
        <v/>
      </c>
      <c r="I228" s="19" t="n"/>
      <c r="N228" s="18">
        <f>IF(A228="","",SUMIFS(Ventas!$F:$F,Ventas!$C:$C,A228))</f>
        <v/>
      </c>
      <c r="O228" s="18">
        <f>IF(A228="","",SUMIFS(Clases!$I:$I,Clases!$C:$C,A228,Clases!$J:$J,"&lt;&gt;Reprogramada"))</f>
        <v/>
      </c>
      <c r="P228" s="18">
        <f>IF(A228="","",N228-O228)</f>
        <v/>
      </c>
      <c r="Q228" s="20">
        <f>IF(A228="","",SUMIFS(Ventas!$I:$I,Ventas!$C:$C,A228))</f>
        <v/>
      </c>
      <c r="R228" s="20">
        <f>IF(A228="","",SUMIFS(Pagos!$E:$E,Pagos!$C:$C,A228))</f>
        <v/>
      </c>
      <c r="S228" s="20">
        <f>IF(A228="","",Q228-R228)</f>
        <v/>
      </c>
    </row>
    <row r="229">
      <c r="A229" s="18">
        <f>IF(B229="","","A"&amp;TEXT(ROW()-1,"000"))</f>
        <v/>
      </c>
      <c r="I229" s="19" t="n"/>
      <c r="N229" s="18">
        <f>IF(A229="","",SUMIFS(Ventas!$F:$F,Ventas!$C:$C,A229))</f>
        <v/>
      </c>
      <c r="O229" s="18">
        <f>IF(A229="","",SUMIFS(Clases!$I:$I,Clases!$C:$C,A229,Clases!$J:$J,"&lt;&gt;Reprogramada"))</f>
        <v/>
      </c>
      <c r="P229" s="18">
        <f>IF(A229="","",N229-O229)</f>
        <v/>
      </c>
      <c r="Q229" s="20">
        <f>IF(A229="","",SUMIFS(Ventas!$I:$I,Ventas!$C:$C,A229))</f>
        <v/>
      </c>
      <c r="R229" s="20">
        <f>IF(A229="","",SUMIFS(Pagos!$E:$E,Pagos!$C:$C,A229))</f>
        <v/>
      </c>
      <c r="S229" s="20">
        <f>IF(A229="","",Q229-R229)</f>
        <v/>
      </c>
    </row>
    <row r="230">
      <c r="A230" s="18">
        <f>IF(B230="","","A"&amp;TEXT(ROW()-1,"000"))</f>
        <v/>
      </c>
      <c r="I230" s="19" t="n"/>
      <c r="N230" s="18">
        <f>IF(A230="","",SUMIFS(Ventas!$F:$F,Ventas!$C:$C,A230))</f>
        <v/>
      </c>
      <c r="O230" s="18">
        <f>IF(A230="","",SUMIFS(Clases!$I:$I,Clases!$C:$C,A230,Clases!$J:$J,"&lt;&gt;Reprogramada"))</f>
        <v/>
      </c>
      <c r="P230" s="18">
        <f>IF(A230="","",N230-O230)</f>
        <v/>
      </c>
      <c r="Q230" s="20">
        <f>IF(A230="","",SUMIFS(Ventas!$I:$I,Ventas!$C:$C,A230))</f>
        <v/>
      </c>
      <c r="R230" s="20">
        <f>IF(A230="","",SUMIFS(Pagos!$E:$E,Pagos!$C:$C,A230))</f>
        <v/>
      </c>
      <c r="S230" s="20">
        <f>IF(A230="","",Q230-R230)</f>
        <v/>
      </c>
    </row>
    <row r="231">
      <c r="A231" s="18">
        <f>IF(B231="","","A"&amp;TEXT(ROW()-1,"000"))</f>
        <v/>
      </c>
      <c r="I231" s="19" t="n"/>
      <c r="N231" s="18">
        <f>IF(A231="","",SUMIFS(Ventas!$F:$F,Ventas!$C:$C,A231))</f>
        <v/>
      </c>
      <c r="O231" s="18">
        <f>IF(A231="","",SUMIFS(Clases!$I:$I,Clases!$C:$C,A231,Clases!$J:$J,"&lt;&gt;Reprogramada"))</f>
        <v/>
      </c>
      <c r="P231" s="18">
        <f>IF(A231="","",N231-O231)</f>
        <v/>
      </c>
      <c r="Q231" s="20">
        <f>IF(A231="","",SUMIFS(Ventas!$I:$I,Ventas!$C:$C,A231))</f>
        <v/>
      </c>
      <c r="R231" s="20">
        <f>IF(A231="","",SUMIFS(Pagos!$E:$E,Pagos!$C:$C,A231))</f>
        <v/>
      </c>
      <c r="S231" s="20">
        <f>IF(A231="","",Q231-R231)</f>
        <v/>
      </c>
    </row>
    <row r="232">
      <c r="A232" s="18">
        <f>IF(B232="","","A"&amp;TEXT(ROW()-1,"000"))</f>
        <v/>
      </c>
      <c r="I232" s="19" t="n"/>
      <c r="N232" s="18">
        <f>IF(A232="","",SUMIFS(Ventas!$F:$F,Ventas!$C:$C,A232))</f>
        <v/>
      </c>
      <c r="O232" s="18">
        <f>IF(A232="","",SUMIFS(Clases!$I:$I,Clases!$C:$C,A232,Clases!$J:$J,"&lt;&gt;Reprogramada"))</f>
        <v/>
      </c>
      <c r="P232" s="18">
        <f>IF(A232="","",N232-O232)</f>
        <v/>
      </c>
      <c r="Q232" s="20">
        <f>IF(A232="","",SUMIFS(Ventas!$I:$I,Ventas!$C:$C,A232))</f>
        <v/>
      </c>
      <c r="R232" s="20">
        <f>IF(A232="","",SUMIFS(Pagos!$E:$E,Pagos!$C:$C,A232))</f>
        <v/>
      </c>
      <c r="S232" s="20">
        <f>IF(A232="","",Q232-R232)</f>
        <v/>
      </c>
    </row>
    <row r="233">
      <c r="A233" s="18">
        <f>IF(B233="","","A"&amp;TEXT(ROW()-1,"000"))</f>
        <v/>
      </c>
      <c r="I233" s="19" t="n"/>
      <c r="N233" s="18">
        <f>IF(A233="","",SUMIFS(Ventas!$F:$F,Ventas!$C:$C,A233))</f>
        <v/>
      </c>
      <c r="O233" s="18">
        <f>IF(A233="","",SUMIFS(Clases!$I:$I,Clases!$C:$C,A233,Clases!$J:$J,"&lt;&gt;Reprogramada"))</f>
        <v/>
      </c>
      <c r="P233" s="18">
        <f>IF(A233="","",N233-O233)</f>
        <v/>
      </c>
      <c r="Q233" s="20">
        <f>IF(A233="","",SUMIFS(Ventas!$I:$I,Ventas!$C:$C,A233))</f>
        <v/>
      </c>
      <c r="R233" s="20">
        <f>IF(A233="","",SUMIFS(Pagos!$E:$E,Pagos!$C:$C,A233))</f>
        <v/>
      </c>
      <c r="S233" s="20">
        <f>IF(A233="","",Q233-R233)</f>
        <v/>
      </c>
    </row>
    <row r="234">
      <c r="A234" s="18">
        <f>IF(B234="","","A"&amp;TEXT(ROW()-1,"000"))</f>
        <v/>
      </c>
      <c r="I234" s="19" t="n"/>
      <c r="N234" s="18">
        <f>IF(A234="","",SUMIFS(Ventas!$F:$F,Ventas!$C:$C,A234))</f>
        <v/>
      </c>
      <c r="O234" s="18">
        <f>IF(A234="","",SUMIFS(Clases!$I:$I,Clases!$C:$C,A234,Clases!$J:$J,"&lt;&gt;Reprogramada"))</f>
        <v/>
      </c>
      <c r="P234" s="18">
        <f>IF(A234="","",N234-O234)</f>
        <v/>
      </c>
      <c r="Q234" s="20">
        <f>IF(A234="","",SUMIFS(Ventas!$I:$I,Ventas!$C:$C,A234))</f>
        <v/>
      </c>
      <c r="R234" s="20">
        <f>IF(A234="","",SUMIFS(Pagos!$E:$E,Pagos!$C:$C,A234))</f>
        <v/>
      </c>
      <c r="S234" s="20">
        <f>IF(A234="","",Q234-R234)</f>
        <v/>
      </c>
    </row>
    <row r="235">
      <c r="A235" s="18">
        <f>IF(B235="","","A"&amp;TEXT(ROW()-1,"000"))</f>
        <v/>
      </c>
      <c r="I235" s="19" t="n"/>
      <c r="N235" s="18">
        <f>IF(A235="","",SUMIFS(Ventas!$F:$F,Ventas!$C:$C,A235))</f>
        <v/>
      </c>
      <c r="O235" s="18">
        <f>IF(A235="","",SUMIFS(Clases!$I:$I,Clases!$C:$C,A235,Clases!$J:$J,"&lt;&gt;Reprogramada"))</f>
        <v/>
      </c>
      <c r="P235" s="18">
        <f>IF(A235="","",N235-O235)</f>
        <v/>
      </c>
      <c r="Q235" s="20">
        <f>IF(A235="","",SUMIFS(Ventas!$I:$I,Ventas!$C:$C,A235))</f>
        <v/>
      </c>
      <c r="R235" s="20">
        <f>IF(A235="","",SUMIFS(Pagos!$E:$E,Pagos!$C:$C,A235))</f>
        <v/>
      </c>
      <c r="S235" s="20">
        <f>IF(A235="","",Q235-R235)</f>
        <v/>
      </c>
    </row>
    <row r="236">
      <c r="A236" s="18">
        <f>IF(B236="","","A"&amp;TEXT(ROW()-1,"000"))</f>
        <v/>
      </c>
      <c r="I236" s="19" t="n"/>
      <c r="N236" s="18">
        <f>IF(A236="","",SUMIFS(Ventas!$F:$F,Ventas!$C:$C,A236))</f>
        <v/>
      </c>
      <c r="O236" s="18">
        <f>IF(A236="","",SUMIFS(Clases!$I:$I,Clases!$C:$C,A236,Clases!$J:$J,"&lt;&gt;Reprogramada"))</f>
        <v/>
      </c>
      <c r="P236" s="18">
        <f>IF(A236="","",N236-O236)</f>
        <v/>
      </c>
      <c r="Q236" s="20">
        <f>IF(A236="","",SUMIFS(Ventas!$I:$I,Ventas!$C:$C,A236))</f>
        <v/>
      </c>
      <c r="R236" s="20">
        <f>IF(A236="","",SUMIFS(Pagos!$E:$E,Pagos!$C:$C,A236))</f>
        <v/>
      </c>
      <c r="S236" s="20">
        <f>IF(A236="","",Q236-R236)</f>
        <v/>
      </c>
    </row>
    <row r="237">
      <c r="A237" s="18">
        <f>IF(B237="","","A"&amp;TEXT(ROW()-1,"000"))</f>
        <v/>
      </c>
      <c r="I237" s="19" t="n"/>
      <c r="N237" s="18">
        <f>IF(A237="","",SUMIFS(Ventas!$F:$F,Ventas!$C:$C,A237))</f>
        <v/>
      </c>
      <c r="O237" s="18">
        <f>IF(A237="","",SUMIFS(Clases!$I:$I,Clases!$C:$C,A237,Clases!$J:$J,"&lt;&gt;Reprogramada"))</f>
        <v/>
      </c>
      <c r="P237" s="18">
        <f>IF(A237="","",N237-O237)</f>
        <v/>
      </c>
      <c r="Q237" s="20">
        <f>IF(A237="","",SUMIFS(Ventas!$I:$I,Ventas!$C:$C,A237))</f>
        <v/>
      </c>
      <c r="R237" s="20">
        <f>IF(A237="","",SUMIFS(Pagos!$E:$E,Pagos!$C:$C,A237))</f>
        <v/>
      </c>
      <c r="S237" s="20">
        <f>IF(A237="","",Q237-R237)</f>
        <v/>
      </c>
    </row>
    <row r="238">
      <c r="A238" s="18">
        <f>IF(B238="","","A"&amp;TEXT(ROW()-1,"000"))</f>
        <v/>
      </c>
      <c r="I238" s="19" t="n"/>
      <c r="N238" s="18">
        <f>IF(A238="","",SUMIFS(Ventas!$F:$F,Ventas!$C:$C,A238))</f>
        <v/>
      </c>
      <c r="O238" s="18">
        <f>IF(A238="","",SUMIFS(Clases!$I:$I,Clases!$C:$C,A238,Clases!$J:$J,"&lt;&gt;Reprogramada"))</f>
        <v/>
      </c>
      <c r="P238" s="18">
        <f>IF(A238="","",N238-O238)</f>
        <v/>
      </c>
      <c r="Q238" s="20">
        <f>IF(A238="","",SUMIFS(Ventas!$I:$I,Ventas!$C:$C,A238))</f>
        <v/>
      </c>
      <c r="R238" s="20">
        <f>IF(A238="","",SUMIFS(Pagos!$E:$E,Pagos!$C:$C,A238))</f>
        <v/>
      </c>
      <c r="S238" s="20">
        <f>IF(A238="","",Q238-R238)</f>
        <v/>
      </c>
    </row>
    <row r="239">
      <c r="A239" s="18">
        <f>IF(B239="","","A"&amp;TEXT(ROW()-1,"000"))</f>
        <v/>
      </c>
      <c r="I239" s="19" t="n"/>
      <c r="N239" s="18">
        <f>IF(A239="","",SUMIFS(Ventas!$F:$F,Ventas!$C:$C,A239))</f>
        <v/>
      </c>
      <c r="O239" s="18">
        <f>IF(A239="","",SUMIFS(Clases!$I:$I,Clases!$C:$C,A239,Clases!$J:$J,"&lt;&gt;Reprogramada"))</f>
        <v/>
      </c>
      <c r="P239" s="18">
        <f>IF(A239="","",N239-O239)</f>
        <v/>
      </c>
      <c r="Q239" s="20">
        <f>IF(A239="","",SUMIFS(Ventas!$I:$I,Ventas!$C:$C,A239))</f>
        <v/>
      </c>
      <c r="R239" s="20">
        <f>IF(A239="","",SUMIFS(Pagos!$E:$E,Pagos!$C:$C,A239))</f>
        <v/>
      </c>
      <c r="S239" s="20">
        <f>IF(A239="","",Q239-R239)</f>
        <v/>
      </c>
    </row>
    <row r="240">
      <c r="A240" s="18">
        <f>IF(B240="","","A"&amp;TEXT(ROW()-1,"000"))</f>
        <v/>
      </c>
      <c r="I240" s="19" t="n"/>
      <c r="N240" s="18">
        <f>IF(A240="","",SUMIFS(Ventas!$F:$F,Ventas!$C:$C,A240))</f>
        <v/>
      </c>
      <c r="O240" s="18">
        <f>IF(A240="","",SUMIFS(Clases!$I:$I,Clases!$C:$C,A240,Clases!$J:$J,"&lt;&gt;Reprogramada"))</f>
        <v/>
      </c>
      <c r="P240" s="18">
        <f>IF(A240="","",N240-O240)</f>
        <v/>
      </c>
      <c r="Q240" s="20">
        <f>IF(A240="","",SUMIFS(Ventas!$I:$I,Ventas!$C:$C,A240))</f>
        <v/>
      </c>
      <c r="R240" s="20">
        <f>IF(A240="","",SUMIFS(Pagos!$E:$E,Pagos!$C:$C,A240))</f>
        <v/>
      </c>
      <c r="S240" s="20">
        <f>IF(A240="","",Q240-R240)</f>
        <v/>
      </c>
    </row>
    <row r="241">
      <c r="A241" s="18">
        <f>IF(B241="","","A"&amp;TEXT(ROW()-1,"000"))</f>
        <v/>
      </c>
      <c r="I241" s="19" t="n"/>
      <c r="N241" s="18">
        <f>IF(A241="","",SUMIFS(Ventas!$F:$F,Ventas!$C:$C,A241))</f>
        <v/>
      </c>
      <c r="O241" s="18">
        <f>IF(A241="","",SUMIFS(Clases!$I:$I,Clases!$C:$C,A241,Clases!$J:$J,"&lt;&gt;Reprogramada"))</f>
        <v/>
      </c>
      <c r="P241" s="18">
        <f>IF(A241="","",N241-O241)</f>
        <v/>
      </c>
      <c r="Q241" s="20">
        <f>IF(A241="","",SUMIFS(Ventas!$I:$I,Ventas!$C:$C,A241))</f>
        <v/>
      </c>
      <c r="R241" s="20">
        <f>IF(A241="","",SUMIFS(Pagos!$E:$E,Pagos!$C:$C,A241))</f>
        <v/>
      </c>
      <c r="S241" s="20">
        <f>IF(A241="","",Q241-R241)</f>
        <v/>
      </c>
    </row>
    <row r="242">
      <c r="A242" s="18">
        <f>IF(B242="","","A"&amp;TEXT(ROW()-1,"000"))</f>
        <v/>
      </c>
      <c r="I242" s="19" t="n"/>
      <c r="N242" s="18">
        <f>IF(A242="","",SUMIFS(Ventas!$F:$F,Ventas!$C:$C,A242))</f>
        <v/>
      </c>
      <c r="O242" s="18">
        <f>IF(A242="","",SUMIFS(Clases!$I:$I,Clases!$C:$C,A242,Clases!$J:$J,"&lt;&gt;Reprogramada"))</f>
        <v/>
      </c>
      <c r="P242" s="18">
        <f>IF(A242="","",N242-O242)</f>
        <v/>
      </c>
      <c r="Q242" s="20">
        <f>IF(A242="","",SUMIFS(Ventas!$I:$I,Ventas!$C:$C,A242))</f>
        <v/>
      </c>
      <c r="R242" s="20">
        <f>IF(A242="","",SUMIFS(Pagos!$E:$E,Pagos!$C:$C,A242))</f>
        <v/>
      </c>
      <c r="S242" s="20">
        <f>IF(A242="","",Q242-R242)</f>
        <v/>
      </c>
    </row>
    <row r="243">
      <c r="A243" s="18">
        <f>IF(B243="","","A"&amp;TEXT(ROW()-1,"000"))</f>
        <v/>
      </c>
      <c r="I243" s="19" t="n"/>
      <c r="N243" s="18">
        <f>IF(A243="","",SUMIFS(Ventas!$F:$F,Ventas!$C:$C,A243))</f>
        <v/>
      </c>
      <c r="O243" s="18">
        <f>IF(A243="","",SUMIFS(Clases!$I:$I,Clases!$C:$C,A243,Clases!$J:$J,"&lt;&gt;Reprogramada"))</f>
        <v/>
      </c>
      <c r="P243" s="18">
        <f>IF(A243="","",N243-O243)</f>
        <v/>
      </c>
      <c r="Q243" s="20">
        <f>IF(A243="","",SUMIFS(Ventas!$I:$I,Ventas!$C:$C,A243))</f>
        <v/>
      </c>
      <c r="R243" s="20">
        <f>IF(A243="","",SUMIFS(Pagos!$E:$E,Pagos!$C:$C,A243))</f>
        <v/>
      </c>
      <c r="S243" s="20">
        <f>IF(A243="","",Q243-R243)</f>
        <v/>
      </c>
    </row>
    <row r="244">
      <c r="A244" s="18">
        <f>IF(B244="","","A"&amp;TEXT(ROW()-1,"000"))</f>
        <v/>
      </c>
      <c r="I244" s="19" t="n"/>
      <c r="N244" s="18">
        <f>IF(A244="","",SUMIFS(Ventas!$F:$F,Ventas!$C:$C,A244))</f>
        <v/>
      </c>
      <c r="O244" s="18">
        <f>IF(A244="","",SUMIFS(Clases!$I:$I,Clases!$C:$C,A244,Clases!$J:$J,"&lt;&gt;Reprogramada"))</f>
        <v/>
      </c>
      <c r="P244" s="18">
        <f>IF(A244="","",N244-O244)</f>
        <v/>
      </c>
      <c r="Q244" s="20">
        <f>IF(A244="","",SUMIFS(Ventas!$I:$I,Ventas!$C:$C,A244))</f>
        <v/>
      </c>
      <c r="R244" s="20">
        <f>IF(A244="","",SUMIFS(Pagos!$E:$E,Pagos!$C:$C,A244))</f>
        <v/>
      </c>
      <c r="S244" s="20">
        <f>IF(A244="","",Q244-R244)</f>
        <v/>
      </c>
    </row>
    <row r="245">
      <c r="A245" s="18">
        <f>IF(B245="","","A"&amp;TEXT(ROW()-1,"000"))</f>
        <v/>
      </c>
      <c r="I245" s="19" t="n"/>
      <c r="N245" s="18">
        <f>IF(A245="","",SUMIFS(Ventas!$F:$F,Ventas!$C:$C,A245))</f>
        <v/>
      </c>
      <c r="O245" s="18">
        <f>IF(A245="","",SUMIFS(Clases!$I:$I,Clases!$C:$C,A245,Clases!$J:$J,"&lt;&gt;Reprogramada"))</f>
        <v/>
      </c>
      <c r="P245" s="18">
        <f>IF(A245="","",N245-O245)</f>
        <v/>
      </c>
      <c r="Q245" s="20">
        <f>IF(A245="","",SUMIFS(Ventas!$I:$I,Ventas!$C:$C,A245))</f>
        <v/>
      </c>
      <c r="R245" s="20">
        <f>IF(A245="","",SUMIFS(Pagos!$E:$E,Pagos!$C:$C,A245))</f>
        <v/>
      </c>
      <c r="S245" s="20">
        <f>IF(A245="","",Q245-R245)</f>
        <v/>
      </c>
    </row>
    <row r="246">
      <c r="A246" s="18">
        <f>IF(B246="","","A"&amp;TEXT(ROW()-1,"000"))</f>
        <v/>
      </c>
      <c r="I246" s="19" t="n"/>
      <c r="N246" s="18">
        <f>IF(A246="","",SUMIFS(Ventas!$F:$F,Ventas!$C:$C,A246))</f>
        <v/>
      </c>
      <c r="O246" s="18">
        <f>IF(A246="","",SUMIFS(Clases!$I:$I,Clases!$C:$C,A246,Clases!$J:$J,"&lt;&gt;Reprogramada"))</f>
        <v/>
      </c>
      <c r="P246" s="18">
        <f>IF(A246="","",N246-O246)</f>
        <v/>
      </c>
      <c r="Q246" s="20">
        <f>IF(A246="","",SUMIFS(Ventas!$I:$I,Ventas!$C:$C,A246))</f>
        <v/>
      </c>
      <c r="R246" s="20">
        <f>IF(A246="","",SUMIFS(Pagos!$E:$E,Pagos!$C:$C,A246))</f>
        <v/>
      </c>
      <c r="S246" s="20">
        <f>IF(A246="","",Q246-R246)</f>
        <v/>
      </c>
    </row>
    <row r="247">
      <c r="A247" s="18">
        <f>IF(B247="","","A"&amp;TEXT(ROW()-1,"000"))</f>
        <v/>
      </c>
      <c r="I247" s="19" t="n"/>
      <c r="N247" s="18">
        <f>IF(A247="","",SUMIFS(Ventas!$F:$F,Ventas!$C:$C,A247))</f>
        <v/>
      </c>
      <c r="O247" s="18">
        <f>IF(A247="","",SUMIFS(Clases!$I:$I,Clases!$C:$C,A247,Clases!$J:$J,"&lt;&gt;Reprogramada"))</f>
        <v/>
      </c>
      <c r="P247" s="18">
        <f>IF(A247="","",N247-O247)</f>
        <v/>
      </c>
      <c r="Q247" s="20">
        <f>IF(A247="","",SUMIFS(Ventas!$I:$I,Ventas!$C:$C,A247))</f>
        <v/>
      </c>
      <c r="R247" s="20">
        <f>IF(A247="","",SUMIFS(Pagos!$E:$E,Pagos!$C:$C,A247))</f>
        <v/>
      </c>
      <c r="S247" s="20">
        <f>IF(A247="","",Q247-R247)</f>
        <v/>
      </c>
    </row>
    <row r="248">
      <c r="A248" s="18">
        <f>IF(B248="","","A"&amp;TEXT(ROW()-1,"000"))</f>
        <v/>
      </c>
      <c r="I248" s="19" t="n"/>
      <c r="N248" s="18">
        <f>IF(A248="","",SUMIFS(Ventas!$F:$F,Ventas!$C:$C,A248))</f>
        <v/>
      </c>
      <c r="O248" s="18">
        <f>IF(A248="","",SUMIFS(Clases!$I:$I,Clases!$C:$C,A248,Clases!$J:$J,"&lt;&gt;Reprogramada"))</f>
        <v/>
      </c>
      <c r="P248" s="18">
        <f>IF(A248="","",N248-O248)</f>
        <v/>
      </c>
      <c r="Q248" s="20">
        <f>IF(A248="","",SUMIFS(Ventas!$I:$I,Ventas!$C:$C,A248))</f>
        <v/>
      </c>
      <c r="R248" s="20">
        <f>IF(A248="","",SUMIFS(Pagos!$E:$E,Pagos!$C:$C,A248))</f>
        <v/>
      </c>
      <c r="S248" s="20">
        <f>IF(A248="","",Q248-R248)</f>
        <v/>
      </c>
    </row>
    <row r="249">
      <c r="A249" s="18">
        <f>IF(B249="","","A"&amp;TEXT(ROW()-1,"000"))</f>
        <v/>
      </c>
      <c r="I249" s="19" t="n"/>
      <c r="N249" s="18">
        <f>IF(A249="","",SUMIFS(Ventas!$F:$F,Ventas!$C:$C,A249))</f>
        <v/>
      </c>
      <c r="O249" s="18">
        <f>IF(A249="","",SUMIFS(Clases!$I:$I,Clases!$C:$C,A249,Clases!$J:$J,"&lt;&gt;Reprogramada"))</f>
        <v/>
      </c>
      <c r="P249" s="18">
        <f>IF(A249="","",N249-O249)</f>
        <v/>
      </c>
      <c r="Q249" s="20">
        <f>IF(A249="","",SUMIFS(Ventas!$I:$I,Ventas!$C:$C,A249))</f>
        <v/>
      </c>
      <c r="R249" s="20">
        <f>IF(A249="","",SUMIFS(Pagos!$E:$E,Pagos!$C:$C,A249))</f>
        <v/>
      </c>
      <c r="S249" s="20">
        <f>IF(A249="","",Q249-R249)</f>
        <v/>
      </c>
    </row>
    <row r="250">
      <c r="A250" s="18">
        <f>IF(B250="","","A"&amp;TEXT(ROW()-1,"000"))</f>
        <v/>
      </c>
      <c r="I250" s="19" t="n"/>
      <c r="N250" s="18">
        <f>IF(A250="","",SUMIFS(Ventas!$F:$F,Ventas!$C:$C,A250))</f>
        <v/>
      </c>
      <c r="O250" s="18">
        <f>IF(A250="","",SUMIFS(Clases!$I:$I,Clases!$C:$C,A250,Clases!$J:$J,"&lt;&gt;Reprogramada"))</f>
        <v/>
      </c>
      <c r="P250" s="18">
        <f>IF(A250="","",N250-O250)</f>
        <v/>
      </c>
      <c r="Q250" s="20">
        <f>IF(A250="","",SUMIFS(Ventas!$I:$I,Ventas!$C:$C,A250))</f>
        <v/>
      </c>
      <c r="R250" s="20">
        <f>IF(A250="","",SUMIFS(Pagos!$E:$E,Pagos!$C:$C,A250))</f>
        <v/>
      </c>
      <c r="S250" s="20">
        <f>IF(A250="","",Q250-R250)</f>
        <v/>
      </c>
    </row>
    <row r="251">
      <c r="A251" s="18">
        <f>IF(B251="","","A"&amp;TEXT(ROW()-1,"000"))</f>
        <v/>
      </c>
      <c r="I251" s="19" t="n"/>
      <c r="N251" s="18">
        <f>IF(A251="","",SUMIFS(Ventas!$F:$F,Ventas!$C:$C,A251))</f>
        <v/>
      </c>
      <c r="O251" s="18">
        <f>IF(A251="","",SUMIFS(Clases!$I:$I,Clases!$C:$C,A251,Clases!$J:$J,"&lt;&gt;Reprogramada"))</f>
        <v/>
      </c>
      <c r="P251" s="18">
        <f>IF(A251="","",N251-O251)</f>
        <v/>
      </c>
      <c r="Q251" s="20">
        <f>IF(A251="","",SUMIFS(Ventas!$I:$I,Ventas!$C:$C,A251))</f>
        <v/>
      </c>
      <c r="R251" s="20">
        <f>IF(A251="","",SUMIFS(Pagos!$E:$E,Pagos!$C:$C,A251))</f>
        <v/>
      </c>
      <c r="S251" s="20">
        <f>IF(A251="","",Q251-R251)</f>
        <v/>
      </c>
    </row>
    <row r="252">
      <c r="A252" s="18">
        <f>IF(B252="","","A"&amp;TEXT(ROW()-1,"000"))</f>
        <v/>
      </c>
      <c r="I252" s="19" t="n"/>
      <c r="N252" s="18">
        <f>IF(A252="","",SUMIFS(Ventas!$F:$F,Ventas!$C:$C,A252))</f>
        <v/>
      </c>
      <c r="O252" s="18">
        <f>IF(A252="","",SUMIFS(Clases!$I:$I,Clases!$C:$C,A252,Clases!$J:$J,"&lt;&gt;Reprogramada"))</f>
        <v/>
      </c>
      <c r="P252" s="18">
        <f>IF(A252="","",N252-O252)</f>
        <v/>
      </c>
      <c r="Q252" s="20">
        <f>IF(A252="","",SUMIFS(Ventas!$I:$I,Ventas!$C:$C,A252))</f>
        <v/>
      </c>
      <c r="R252" s="20">
        <f>IF(A252="","",SUMIFS(Pagos!$E:$E,Pagos!$C:$C,A252))</f>
        <v/>
      </c>
      <c r="S252" s="20">
        <f>IF(A252="","",Q252-R252)</f>
        <v/>
      </c>
    </row>
    <row r="253">
      <c r="A253" s="18">
        <f>IF(B253="","","A"&amp;TEXT(ROW()-1,"000"))</f>
        <v/>
      </c>
      <c r="I253" s="19" t="n"/>
      <c r="N253" s="18">
        <f>IF(A253="","",SUMIFS(Ventas!$F:$F,Ventas!$C:$C,A253))</f>
        <v/>
      </c>
      <c r="O253" s="18">
        <f>IF(A253="","",SUMIFS(Clases!$I:$I,Clases!$C:$C,A253,Clases!$J:$J,"&lt;&gt;Reprogramada"))</f>
        <v/>
      </c>
      <c r="P253" s="18">
        <f>IF(A253="","",N253-O253)</f>
        <v/>
      </c>
      <c r="Q253" s="20">
        <f>IF(A253="","",SUMIFS(Ventas!$I:$I,Ventas!$C:$C,A253))</f>
        <v/>
      </c>
      <c r="R253" s="20">
        <f>IF(A253="","",SUMIFS(Pagos!$E:$E,Pagos!$C:$C,A253))</f>
        <v/>
      </c>
      <c r="S253" s="20">
        <f>IF(A253="","",Q253-R253)</f>
        <v/>
      </c>
    </row>
    <row r="254">
      <c r="A254" s="18">
        <f>IF(B254="","","A"&amp;TEXT(ROW()-1,"000"))</f>
        <v/>
      </c>
      <c r="I254" s="19" t="n"/>
      <c r="N254" s="18">
        <f>IF(A254="","",SUMIFS(Ventas!$F:$F,Ventas!$C:$C,A254))</f>
        <v/>
      </c>
      <c r="O254" s="18">
        <f>IF(A254="","",SUMIFS(Clases!$I:$I,Clases!$C:$C,A254,Clases!$J:$J,"&lt;&gt;Reprogramada"))</f>
        <v/>
      </c>
      <c r="P254" s="18">
        <f>IF(A254="","",N254-O254)</f>
        <v/>
      </c>
      <c r="Q254" s="20">
        <f>IF(A254="","",SUMIFS(Ventas!$I:$I,Ventas!$C:$C,A254))</f>
        <v/>
      </c>
      <c r="R254" s="20">
        <f>IF(A254="","",SUMIFS(Pagos!$E:$E,Pagos!$C:$C,A254))</f>
        <v/>
      </c>
      <c r="S254" s="20">
        <f>IF(A254="","",Q254-R254)</f>
        <v/>
      </c>
    </row>
    <row r="255">
      <c r="A255" s="18">
        <f>IF(B255="","","A"&amp;TEXT(ROW()-1,"000"))</f>
        <v/>
      </c>
      <c r="I255" s="19" t="n"/>
      <c r="N255" s="18">
        <f>IF(A255="","",SUMIFS(Ventas!$F:$F,Ventas!$C:$C,A255))</f>
        <v/>
      </c>
      <c r="O255" s="18">
        <f>IF(A255="","",SUMIFS(Clases!$I:$I,Clases!$C:$C,A255,Clases!$J:$J,"&lt;&gt;Reprogramada"))</f>
        <v/>
      </c>
      <c r="P255" s="18">
        <f>IF(A255="","",N255-O255)</f>
        <v/>
      </c>
      <c r="Q255" s="20">
        <f>IF(A255="","",SUMIFS(Ventas!$I:$I,Ventas!$C:$C,A255))</f>
        <v/>
      </c>
      <c r="R255" s="20">
        <f>IF(A255="","",SUMIFS(Pagos!$E:$E,Pagos!$C:$C,A255))</f>
        <v/>
      </c>
      <c r="S255" s="20">
        <f>IF(A255="","",Q255-R255)</f>
        <v/>
      </c>
    </row>
    <row r="256">
      <c r="A256" s="18">
        <f>IF(B256="","","A"&amp;TEXT(ROW()-1,"000"))</f>
        <v/>
      </c>
      <c r="I256" s="19" t="n"/>
      <c r="N256" s="18">
        <f>IF(A256="","",SUMIFS(Ventas!$F:$F,Ventas!$C:$C,A256))</f>
        <v/>
      </c>
      <c r="O256" s="18">
        <f>IF(A256="","",SUMIFS(Clases!$I:$I,Clases!$C:$C,A256,Clases!$J:$J,"&lt;&gt;Reprogramada"))</f>
        <v/>
      </c>
      <c r="P256" s="18">
        <f>IF(A256="","",N256-O256)</f>
        <v/>
      </c>
      <c r="Q256" s="20">
        <f>IF(A256="","",SUMIFS(Ventas!$I:$I,Ventas!$C:$C,A256))</f>
        <v/>
      </c>
      <c r="R256" s="20">
        <f>IF(A256="","",SUMIFS(Pagos!$E:$E,Pagos!$C:$C,A256))</f>
        <v/>
      </c>
      <c r="S256" s="20">
        <f>IF(A256="","",Q256-R256)</f>
        <v/>
      </c>
    </row>
    <row r="257">
      <c r="A257" s="18">
        <f>IF(B257="","","A"&amp;TEXT(ROW()-1,"000"))</f>
        <v/>
      </c>
      <c r="I257" s="19" t="n"/>
      <c r="N257" s="18">
        <f>IF(A257="","",SUMIFS(Ventas!$F:$F,Ventas!$C:$C,A257))</f>
        <v/>
      </c>
      <c r="O257" s="18">
        <f>IF(A257="","",SUMIFS(Clases!$I:$I,Clases!$C:$C,A257,Clases!$J:$J,"&lt;&gt;Reprogramada"))</f>
        <v/>
      </c>
      <c r="P257" s="18">
        <f>IF(A257="","",N257-O257)</f>
        <v/>
      </c>
      <c r="Q257" s="20">
        <f>IF(A257="","",SUMIFS(Ventas!$I:$I,Ventas!$C:$C,A257))</f>
        <v/>
      </c>
      <c r="R257" s="20">
        <f>IF(A257="","",SUMIFS(Pagos!$E:$E,Pagos!$C:$C,A257))</f>
        <v/>
      </c>
      <c r="S257" s="20">
        <f>IF(A257="","",Q257-R257)</f>
        <v/>
      </c>
    </row>
    <row r="258">
      <c r="A258" s="18">
        <f>IF(B258="","","A"&amp;TEXT(ROW()-1,"000"))</f>
        <v/>
      </c>
      <c r="I258" s="19" t="n"/>
      <c r="N258" s="18">
        <f>IF(A258="","",SUMIFS(Ventas!$F:$F,Ventas!$C:$C,A258))</f>
        <v/>
      </c>
      <c r="O258" s="18">
        <f>IF(A258="","",SUMIFS(Clases!$I:$I,Clases!$C:$C,A258,Clases!$J:$J,"&lt;&gt;Reprogramada"))</f>
        <v/>
      </c>
      <c r="P258" s="18">
        <f>IF(A258="","",N258-O258)</f>
        <v/>
      </c>
      <c r="Q258" s="20">
        <f>IF(A258="","",SUMIFS(Ventas!$I:$I,Ventas!$C:$C,A258))</f>
        <v/>
      </c>
      <c r="R258" s="20">
        <f>IF(A258="","",SUMIFS(Pagos!$E:$E,Pagos!$C:$C,A258))</f>
        <v/>
      </c>
      <c r="S258" s="20">
        <f>IF(A258="","",Q258-R258)</f>
        <v/>
      </c>
    </row>
    <row r="259">
      <c r="A259" s="18">
        <f>IF(B259="","","A"&amp;TEXT(ROW()-1,"000"))</f>
        <v/>
      </c>
      <c r="I259" s="19" t="n"/>
      <c r="N259" s="18">
        <f>IF(A259="","",SUMIFS(Ventas!$F:$F,Ventas!$C:$C,A259))</f>
        <v/>
      </c>
      <c r="O259" s="18">
        <f>IF(A259="","",SUMIFS(Clases!$I:$I,Clases!$C:$C,A259,Clases!$J:$J,"&lt;&gt;Reprogramada"))</f>
        <v/>
      </c>
      <c r="P259" s="18">
        <f>IF(A259="","",N259-O259)</f>
        <v/>
      </c>
      <c r="Q259" s="20">
        <f>IF(A259="","",SUMIFS(Ventas!$I:$I,Ventas!$C:$C,A259))</f>
        <v/>
      </c>
      <c r="R259" s="20">
        <f>IF(A259="","",SUMIFS(Pagos!$E:$E,Pagos!$C:$C,A259))</f>
        <v/>
      </c>
      <c r="S259" s="20">
        <f>IF(A259="","",Q259-R259)</f>
        <v/>
      </c>
    </row>
    <row r="260">
      <c r="A260" s="18">
        <f>IF(B260="","","A"&amp;TEXT(ROW()-1,"000"))</f>
        <v/>
      </c>
      <c r="I260" s="19" t="n"/>
      <c r="N260" s="18">
        <f>IF(A260="","",SUMIFS(Ventas!$F:$F,Ventas!$C:$C,A260))</f>
        <v/>
      </c>
      <c r="O260" s="18">
        <f>IF(A260="","",SUMIFS(Clases!$I:$I,Clases!$C:$C,A260,Clases!$J:$J,"&lt;&gt;Reprogramada"))</f>
        <v/>
      </c>
      <c r="P260" s="18">
        <f>IF(A260="","",N260-O260)</f>
        <v/>
      </c>
      <c r="Q260" s="20">
        <f>IF(A260="","",SUMIFS(Ventas!$I:$I,Ventas!$C:$C,A260))</f>
        <v/>
      </c>
      <c r="R260" s="20">
        <f>IF(A260="","",SUMIFS(Pagos!$E:$E,Pagos!$C:$C,A260))</f>
        <v/>
      </c>
      <c r="S260" s="20">
        <f>IF(A260="","",Q260-R260)</f>
        <v/>
      </c>
    </row>
    <row r="261">
      <c r="A261" s="18">
        <f>IF(B261="","","A"&amp;TEXT(ROW()-1,"000"))</f>
        <v/>
      </c>
      <c r="I261" s="19" t="n"/>
      <c r="N261" s="18">
        <f>IF(A261="","",SUMIFS(Ventas!$F:$F,Ventas!$C:$C,A261))</f>
        <v/>
      </c>
      <c r="O261" s="18">
        <f>IF(A261="","",SUMIFS(Clases!$I:$I,Clases!$C:$C,A261,Clases!$J:$J,"&lt;&gt;Reprogramada"))</f>
        <v/>
      </c>
      <c r="P261" s="18">
        <f>IF(A261="","",N261-O261)</f>
        <v/>
      </c>
      <c r="Q261" s="20">
        <f>IF(A261="","",SUMIFS(Ventas!$I:$I,Ventas!$C:$C,A261))</f>
        <v/>
      </c>
      <c r="R261" s="20">
        <f>IF(A261="","",SUMIFS(Pagos!$E:$E,Pagos!$C:$C,A261))</f>
        <v/>
      </c>
      <c r="S261" s="20">
        <f>IF(A261="","",Q261-R261)</f>
        <v/>
      </c>
    </row>
    <row r="262">
      <c r="A262" s="18">
        <f>IF(B262="","","A"&amp;TEXT(ROW()-1,"000"))</f>
        <v/>
      </c>
      <c r="I262" s="19" t="n"/>
      <c r="N262" s="18">
        <f>IF(A262="","",SUMIFS(Ventas!$F:$F,Ventas!$C:$C,A262))</f>
        <v/>
      </c>
      <c r="O262" s="18">
        <f>IF(A262="","",SUMIFS(Clases!$I:$I,Clases!$C:$C,A262,Clases!$J:$J,"&lt;&gt;Reprogramada"))</f>
        <v/>
      </c>
      <c r="P262" s="18">
        <f>IF(A262="","",N262-O262)</f>
        <v/>
      </c>
      <c r="Q262" s="20">
        <f>IF(A262="","",SUMIFS(Ventas!$I:$I,Ventas!$C:$C,A262))</f>
        <v/>
      </c>
      <c r="R262" s="20">
        <f>IF(A262="","",SUMIFS(Pagos!$E:$E,Pagos!$C:$C,A262))</f>
        <v/>
      </c>
      <c r="S262" s="20">
        <f>IF(A262="","",Q262-R262)</f>
        <v/>
      </c>
    </row>
    <row r="263">
      <c r="A263" s="18">
        <f>IF(B263="","","A"&amp;TEXT(ROW()-1,"000"))</f>
        <v/>
      </c>
      <c r="I263" s="19" t="n"/>
      <c r="N263" s="18">
        <f>IF(A263="","",SUMIFS(Ventas!$F:$F,Ventas!$C:$C,A263))</f>
        <v/>
      </c>
      <c r="O263" s="18">
        <f>IF(A263="","",SUMIFS(Clases!$I:$I,Clases!$C:$C,A263,Clases!$J:$J,"&lt;&gt;Reprogramada"))</f>
        <v/>
      </c>
      <c r="P263" s="18">
        <f>IF(A263="","",N263-O263)</f>
        <v/>
      </c>
      <c r="Q263" s="20">
        <f>IF(A263="","",SUMIFS(Ventas!$I:$I,Ventas!$C:$C,A263))</f>
        <v/>
      </c>
      <c r="R263" s="20">
        <f>IF(A263="","",SUMIFS(Pagos!$E:$E,Pagos!$C:$C,A263))</f>
        <v/>
      </c>
      <c r="S263" s="20">
        <f>IF(A263="","",Q263-R263)</f>
        <v/>
      </c>
    </row>
    <row r="264">
      <c r="A264" s="18">
        <f>IF(B264="","","A"&amp;TEXT(ROW()-1,"000"))</f>
        <v/>
      </c>
      <c r="I264" s="19" t="n"/>
      <c r="N264" s="18">
        <f>IF(A264="","",SUMIFS(Ventas!$F:$F,Ventas!$C:$C,A264))</f>
        <v/>
      </c>
      <c r="O264" s="18">
        <f>IF(A264="","",SUMIFS(Clases!$I:$I,Clases!$C:$C,A264,Clases!$J:$J,"&lt;&gt;Reprogramada"))</f>
        <v/>
      </c>
      <c r="P264" s="18">
        <f>IF(A264="","",N264-O264)</f>
        <v/>
      </c>
      <c r="Q264" s="20">
        <f>IF(A264="","",SUMIFS(Ventas!$I:$I,Ventas!$C:$C,A264))</f>
        <v/>
      </c>
      <c r="R264" s="20">
        <f>IF(A264="","",SUMIFS(Pagos!$E:$E,Pagos!$C:$C,A264))</f>
        <v/>
      </c>
      <c r="S264" s="20">
        <f>IF(A264="","",Q264-R264)</f>
        <v/>
      </c>
    </row>
    <row r="265">
      <c r="A265" s="18">
        <f>IF(B265="","","A"&amp;TEXT(ROW()-1,"000"))</f>
        <v/>
      </c>
      <c r="I265" s="19" t="n"/>
      <c r="N265" s="18">
        <f>IF(A265="","",SUMIFS(Ventas!$F:$F,Ventas!$C:$C,A265))</f>
        <v/>
      </c>
      <c r="O265" s="18">
        <f>IF(A265="","",SUMIFS(Clases!$I:$I,Clases!$C:$C,A265,Clases!$J:$J,"&lt;&gt;Reprogramada"))</f>
        <v/>
      </c>
      <c r="P265" s="18">
        <f>IF(A265="","",N265-O265)</f>
        <v/>
      </c>
      <c r="Q265" s="20">
        <f>IF(A265="","",SUMIFS(Ventas!$I:$I,Ventas!$C:$C,A265))</f>
        <v/>
      </c>
      <c r="R265" s="20">
        <f>IF(A265="","",SUMIFS(Pagos!$E:$E,Pagos!$C:$C,A265))</f>
        <v/>
      </c>
      <c r="S265" s="20">
        <f>IF(A265="","",Q265-R265)</f>
        <v/>
      </c>
    </row>
    <row r="266">
      <c r="A266" s="18">
        <f>IF(B266="","","A"&amp;TEXT(ROW()-1,"000"))</f>
        <v/>
      </c>
      <c r="I266" s="19" t="n"/>
      <c r="N266" s="18">
        <f>IF(A266="","",SUMIFS(Ventas!$F:$F,Ventas!$C:$C,A266))</f>
        <v/>
      </c>
      <c r="O266" s="18">
        <f>IF(A266="","",SUMIFS(Clases!$I:$I,Clases!$C:$C,A266,Clases!$J:$J,"&lt;&gt;Reprogramada"))</f>
        <v/>
      </c>
      <c r="P266" s="18">
        <f>IF(A266="","",N266-O266)</f>
        <v/>
      </c>
      <c r="Q266" s="20">
        <f>IF(A266="","",SUMIFS(Ventas!$I:$I,Ventas!$C:$C,A266))</f>
        <v/>
      </c>
      <c r="R266" s="20">
        <f>IF(A266="","",SUMIFS(Pagos!$E:$E,Pagos!$C:$C,A266))</f>
        <v/>
      </c>
      <c r="S266" s="20">
        <f>IF(A266="","",Q266-R266)</f>
        <v/>
      </c>
    </row>
    <row r="267">
      <c r="A267" s="18">
        <f>IF(B267="","","A"&amp;TEXT(ROW()-1,"000"))</f>
        <v/>
      </c>
      <c r="I267" s="19" t="n"/>
      <c r="N267" s="18">
        <f>IF(A267="","",SUMIFS(Ventas!$F:$F,Ventas!$C:$C,A267))</f>
        <v/>
      </c>
      <c r="O267" s="18">
        <f>IF(A267="","",SUMIFS(Clases!$I:$I,Clases!$C:$C,A267,Clases!$J:$J,"&lt;&gt;Reprogramada"))</f>
        <v/>
      </c>
      <c r="P267" s="18">
        <f>IF(A267="","",N267-O267)</f>
        <v/>
      </c>
      <c r="Q267" s="20">
        <f>IF(A267="","",SUMIFS(Ventas!$I:$I,Ventas!$C:$C,A267))</f>
        <v/>
      </c>
      <c r="R267" s="20">
        <f>IF(A267="","",SUMIFS(Pagos!$E:$E,Pagos!$C:$C,A267))</f>
        <v/>
      </c>
      <c r="S267" s="20">
        <f>IF(A267="","",Q267-R267)</f>
        <v/>
      </c>
    </row>
    <row r="268">
      <c r="A268" s="18">
        <f>IF(B268="","","A"&amp;TEXT(ROW()-1,"000"))</f>
        <v/>
      </c>
      <c r="I268" s="19" t="n"/>
      <c r="N268" s="18">
        <f>IF(A268="","",SUMIFS(Ventas!$F:$F,Ventas!$C:$C,A268))</f>
        <v/>
      </c>
      <c r="O268" s="18">
        <f>IF(A268="","",SUMIFS(Clases!$I:$I,Clases!$C:$C,A268,Clases!$J:$J,"&lt;&gt;Reprogramada"))</f>
        <v/>
      </c>
      <c r="P268" s="18">
        <f>IF(A268="","",N268-O268)</f>
        <v/>
      </c>
      <c r="Q268" s="20">
        <f>IF(A268="","",SUMIFS(Ventas!$I:$I,Ventas!$C:$C,A268))</f>
        <v/>
      </c>
      <c r="R268" s="20">
        <f>IF(A268="","",SUMIFS(Pagos!$E:$E,Pagos!$C:$C,A268))</f>
        <v/>
      </c>
      <c r="S268" s="20">
        <f>IF(A268="","",Q268-R268)</f>
        <v/>
      </c>
    </row>
    <row r="269">
      <c r="A269" s="18">
        <f>IF(B269="","","A"&amp;TEXT(ROW()-1,"000"))</f>
        <v/>
      </c>
      <c r="I269" s="19" t="n"/>
      <c r="N269" s="18">
        <f>IF(A269="","",SUMIFS(Ventas!$F:$F,Ventas!$C:$C,A269))</f>
        <v/>
      </c>
      <c r="O269" s="18">
        <f>IF(A269="","",SUMIFS(Clases!$I:$I,Clases!$C:$C,A269,Clases!$J:$J,"&lt;&gt;Reprogramada"))</f>
        <v/>
      </c>
      <c r="P269" s="18">
        <f>IF(A269="","",N269-O269)</f>
        <v/>
      </c>
      <c r="Q269" s="20">
        <f>IF(A269="","",SUMIFS(Ventas!$I:$I,Ventas!$C:$C,A269))</f>
        <v/>
      </c>
      <c r="R269" s="20">
        <f>IF(A269="","",SUMIFS(Pagos!$E:$E,Pagos!$C:$C,A269))</f>
        <v/>
      </c>
      <c r="S269" s="20">
        <f>IF(A269="","",Q269-R269)</f>
        <v/>
      </c>
    </row>
    <row r="270">
      <c r="A270" s="18">
        <f>IF(B270="","","A"&amp;TEXT(ROW()-1,"000"))</f>
        <v/>
      </c>
      <c r="I270" s="19" t="n"/>
      <c r="N270" s="18">
        <f>IF(A270="","",SUMIFS(Ventas!$F:$F,Ventas!$C:$C,A270))</f>
        <v/>
      </c>
      <c r="O270" s="18">
        <f>IF(A270="","",SUMIFS(Clases!$I:$I,Clases!$C:$C,A270,Clases!$J:$J,"&lt;&gt;Reprogramada"))</f>
        <v/>
      </c>
      <c r="P270" s="18">
        <f>IF(A270="","",N270-O270)</f>
        <v/>
      </c>
      <c r="Q270" s="20">
        <f>IF(A270="","",SUMIFS(Ventas!$I:$I,Ventas!$C:$C,A270))</f>
        <v/>
      </c>
      <c r="R270" s="20">
        <f>IF(A270="","",SUMIFS(Pagos!$E:$E,Pagos!$C:$C,A270))</f>
        <v/>
      </c>
      <c r="S270" s="20">
        <f>IF(A270="","",Q270-R270)</f>
        <v/>
      </c>
    </row>
    <row r="271">
      <c r="A271" s="18">
        <f>IF(B271="","","A"&amp;TEXT(ROW()-1,"000"))</f>
        <v/>
      </c>
      <c r="I271" s="19" t="n"/>
      <c r="N271" s="18">
        <f>IF(A271="","",SUMIFS(Ventas!$F:$F,Ventas!$C:$C,A271))</f>
        <v/>
      </c>
      <c r="O271" s="18">
        <f>IF(A271="","",SUMIFS(Clases!$I:$I,Clases!$C:$C,A271,Clases!$J:$J,"&lt;&gt;Reprogramada"))</f>
        <v/>
      </c>
      <c r="P271" s="18">
        <f>IF(A271="","",N271-O271)</f>
        <v/>
      </c>
      <c r="Q271" s="20">
        <f>IF(A271="","",SUMIFS(Ventas!$I:$I,Ventas!$C:$C,A271))</f>
        <v/>
      </c>
      <c r="R271" s="20">
        <f>IF(A271="","",SUMIFS(Pagos!$E:$E,Pagos!$C:$C,A271))</f>
        <v/>
      </c>
      <c r="S271" s="20">
        <f>IF(A271="","",Q271-R271)</f>
        <v/>
      </c>
    </row>
    <row r="272">
      <c r="A272" s="18">
        <f>IF(B272="","","A"&amp;TEXT(ROW()-1,"000"))</f>
        <v/>
      </c>
      <c r="I272" s="19" t="n"/>
      <c r="N272" s="18">
        <f>IF(A272="","",SUMIFS(Ventas!$F:$F,Ventas!$C:$C,A272))</f>
        <v/>
      </c>
      <c r="O272" s="18">
        <f>IF(A272="","",SUMIFS(Clases!$I:$I,Clases!$C:$C,A272,Clases!$J:$J,"&lt;&gt;Reprogramada"))</f>
        <v/>
      </c>
      <c r="P272" s="18">
        <f>IF(A272="","",N272-O272)</f>
        <v/>
      </c>
      <c r="Q272" s="20">
        <f>IF(A272="","",SUMIFS(Ventas!$I:$I,Ventas!$C:$C,A272))</f>
        <v/>
      </c>
      <c r="R272" s="20">
        <f>IF(A272="","",SUMIFS(Pagos!$E:$E,Pagos!$C:$C,A272))</f>
        <v/>
      </c>
      <c r="S272" s="20">
        <f>IF(A272="","",Q272-R272)</f>
        <v/>
      </c>
    </row>
    <row r="273">
      <c r="A273" s="18">
        <f>IF(B273="","","A"&amp;TEXT(ROW()-1,"000"))</f>
        <v/>
      </c>
      <c r="I273" s="19" t="n"/>
      <c r="N273" s="18">
        <f>IF(A273="","",SUMIFS(Ventas!$F:$F,Ventas!$C:$C,A273))</f>
        <v/>
      </c>
      <c r="O273" s="18">
        <f>IF(A273="","",SUMIFS(Clases!$I:$I,Clases!$C:$C,A273,Clases!$J:$J,"&lt;&gt;Reprogramada"))</f>
        <v/>
      </c>
      <c r="P273" s="18">
        <f>IF(A273="","",N273-O273)</f>
        <v/>
      </c>
      <c r="Q273" s="20">
        <f>IF(A273="","",SUMIFS(Ventas!$I:$I,Ventas!$C:$C,A273))</f>
        <v/>
      </c>
      <c r="R273" s="20">
        <f>IF(A273="","",SUMIFS(Pagos!$E:$E,Pagos!$C:$C,A273))</f>
        <v/>
      </c>
      <c r="S273" s="20">
        <f>IF(A273="","",Q273-R273)</f>
        <v/>
      </c>
    </row>
    <row r="274">
      <c r="A274" s="18">
        <f>IF(B274="","","A"&amp;TEXT(ROW()-1,"000"))</f>
        <v/>
      </c>
      <c r="I274" s="19" t="n"/>
      <c r="N274" s="18">
        <f>IF(A274="","",SUMIFS(Ventas!$F:$F,Ventas!$C:$C,A274))</f>
        <v/>
      </c>
      <c r="O274" s="18">
        <f>IF(A274="","",SUMIFS(Clases!$I:$I,Clases!$C:$C,A274,Clases!$J:$J,"&lt;&gt;Reprogramada"))</f>
        <v/>
      </c>
      <c r="P274" s="18">
        <f>IF(A274="","",N274-O274)</f>
        <v/>
      </c>
      <c r="Q274" s="20">
        <f>IF(A274="","",SUMIFS(Ventas!$I:$I,Ventas!$C:$C,A274))</f>
        <v/>
      </c>
      <c r="R274" s="20">
        <f>IF(A274="","",SUMIFS(Pagos!$E:$E,Pagos!$C:$C,A274))</f>
        <v/>
      </c>
      <c r="S274" s="20">
        <f>IF(A274="","",Q274-R274)</f>
        <v/>
      </c>
    </row>
    <row r="275">
      <c r="A275" s="18">
        <f>IF(B275="","","A"&amp;TEXT(ROW()-1,"000"))</f>
        <v/>
      </c>
      <c r="I275" s="19" t="n"/>
      <c r="N275" s="18">
        <f>IF(A275="","",SUMIFS(Ventas!$F:$F,Ventas!$C:$C,A275))</f>
        <v/>
      </c>
      <c r="O275" s="18">
        <f>IF(A275="","",SUMIFS(Clases!$I:$I,Clases!$C:$C,A275,Clases!$J:$J,"&lt;&gt;Reprogramada"))</f>
        <v/>
      </c>
      <c r="P275" s="18">
        <f>IF(A275="","",N275-O275)</f>
        <v/>
      </c>
      <c r="Q275" s="20">
        <f>IF(A275="","",SUMIFS(Ventas!$I:$I,Ventas!$C:$C,A275))</f>
        <v/>
      </c>
      <c r="R275" s="20">
        <f>IF(A275="","",SUMIFS(Pagos!$E:$E,Pagos!$C:$C,A275))</f>
        <v/>
      </c>
      <c r="S275" s="20">
        <f>IF(A275="","",Q275-R275)</f>
        <v/>
      </c>
    </row>
    <row r="276">
      <c r="A276" s="18">
        <f>IF(B276="","","A"&amp;TEXT(ROW()-1,"000"))</f>
        <v/>
      </c>
      <c r="I276" s="19" t="n"/>
      <c r="N276" s="18">
        <f>IF(A276="","",SUMIFS(Ventas!$F:$F,Ventas!$C:$C,A276))</f>
        <v/>
      </c>
      <c r="O276" s="18">
        <f>IF(A276="","",SUMIFS(Clases!$I:$I,Clases!$C:$C,A276,Clases!$J:$J,"&lt;&gt;Reprogramada"))</f>
        <v/>
      </c>
      <c r="P276" s="18">
        <f>IF(A276="","",N276-O276)</f>
        <v/>
      </c>
      <c r="Q276" s="20">
        <f>IF(A276="","",SUMIFS(Ventas!$I:$I,Ventas!$C:$C,A276))</f>
        <v/>
      </c>
      <c r="R276" s="20">
        <f>IF(A276="","",SUMIFS(Pagos!$E:$E,Pagos!$C:$C,A276))</f>
        <v/>
      </c>
      <c r="S276" s="20">
        <f>IF(A276="","",Q276-R276)</f>
        <v/>
      </c>
    </row>
    <row r="277">
      <c r="A277" s="18">
        <f>IF(B277="","","A"&amp;TEXT(ROW()-1,"000"))</f>
        <v/>
      </c>
      <c r="I277" s="19" t="n"/>
      <c r="N277" s="18">
        <f>IF(A277="","",SUMIFS(Ventas!$F:$F,Ventas!$C:$C,A277))</f>
        <v/>
      </c>
      <c r="O277" s="18">
        <f>IF(A277="","",SUMIFS(Clases!$I:$I,Clases!$C:$C,A277,Clases!$J:$J,"&lt;&gt;Reprogramada"))</f>
        <v/>
      </c>
      <c r="P277" s="18">
        <f>IF(A277="","",N277-O277)</f>
        <v/>
      </c>
      <c r="Q277" s="20">
        <f>IF(A277="","",SUMIFS(Ventas!$I:$I,Ventas!$C:$C,A277))</f>
        <v/>
      </c>
      <c r="R277" s="20">
        <f>IF(A277="","",SUMIFS(Pagos!$E:$E,Pagos!$C:$C,A277))</f>
        <v/>
      </c>
      <c r="S277" s="20">
        <f>IF(A277="","",Q277-R277)</f>
        <v/>
      </c>
    </row>
    <row r="278">
      <c r="A278" s="18">
        <f>IF(B278="","","A"&amp;TEXT(ROW()-1,"000"))</f>
        <v/>
      </c>
      <c r="I278" s="19" t="n"/>
      <c r="N278" s="18">
        <f>IF(A278="","",SUMIFS(Ventas!$F:$F,Ventas!$C:$C,A278))</f>
        <v/>
      </c>
      <c r="O278" s="18">
        <f>IF(A278="","",SUMIFS(Clases!$I:$I,Clases!$C:$C,A278,Clases!$J:$J,"&lt;&gt;Reprogramada"))</f>
        <v/>
      </c>
      <c r="P278" s="18">
        <f>IF(A278="","",N278-O278)</f>
        <v/>
      </c>
      <c r="Q278" s="20">
        <f>IF(A278="","",SUMIFS(Ventas!$I:$I,Ventas!$C:$C,A278))</f>
        <v/>
      </c>
      <c r="R278" s="20">
        <f>IF(A278="","",SUMIFS(Pagos!$E:$E,Pagos!$C:$C,A278))</f>
        <v/>
      </c>
      <c r="S278" s="20">
        <f>IF(A278="","",Q278-R278)</f>
        <v/>
      </c>
    </row>
    <row r="279">
      <c r="A279" s="18">
        <f>IF(B279="","","A"&amp;TEXT(ROW()-1,"000"))</f>
        <v/>
      </c>
      <c r="I279" s="19" t="n"/>
      <c r="N279" s="18">
        <f>IF(A279="","",SUMIFS(Ventas!$F:$F,Ventas!$C:$C,A279))</f>
        <v/>
      </c>
      <c r="O279" s="18">
        <f>IF(A279="","",SUMIFS(Clases!$I:$I,Clases!$C:$C,A279,Clases!$J:$J,"&lt;&gt;Reprogramada"))</f>
        <v/>
      </c>
      <c r="P279" s="18">
        <f>IF(A279="","",N279-O279)</f>
        <v/>
      </c>
      <c r="Q279" s="20">
        <f>IF(A279="","",SUMIFS(Ventas!$I:$I,Ventas!$C:$C,A279))</f>
        <v/>
      </c>
      <c r="R279" s="20">
        <f>IF(A279="","",SUMIFS(Pagos!$E:$E,Pagos!$C:$C,A279))</f>
        <v/>
      </c>
      <c r="S279" s="20">
        <f>IF(A279="","",Q279-R279)</f>
        <v/>
      </c>
    </row>
    <row r="280">
      <c r="A280" s="18">
        <f>IF(B280="","","A"&amp;TEXT(ROW()-1,"000"))</f>
        <v/>
      </c>
      <c r="I280" s="19" t="n"/>
      <c r="N280" s="18">
        <f>IF(A280="","",SUMIFS(Ventas!$F:$F,Ventas!$C:$C,A280))</f>
        <v/>
      </c>
      <c r="O280" s="18">
        <f>IF(A280="","",SUMIFS(Clases!$I:$I,Clases!$C:$C,A280,Clases!$J:$J,"&lt;&gt;Reprogramada"))</f>
        <v/>
      </c>
      <c r="P280" s="18">
        <f>IF(A280="","",N280-O280)</f>
        <v/>
      </c>
      <c r="Q280" s="20">
        <f>IF(A280="","",SUMIFS(Ventas!$I:$I,Ventas!$C:$C,A280))</f>
        <v/>
      </c>
      <c r="R280" s="20">
        <f>IF(A280="","",SUMIFS(Pagos!$E:$E,Pagos!$C:$C,A280))</f>
        <v/>
      </c>
      <c r="S280" s="20">
        <f>IF(A280="","",Q280-R280)</f>
        <v/>
      </c>
    </row>
    <row r="281">
      <c r="A281" s="18">
        <f>IF(B281="","","A"&amp;TEXT(ROW()-1,"000"))</f>
        <v/>
      </c>
      <c r="I281" s="19" t="n"/>
      <c r="N281" s="18">
        <f>IF(A281="","",SUMIFS(Ventas!$F:$F,Ventas!$C:$C,A281))</f>
        <v/>
      </c>
      <c r="O281" s="18">
        <f>IF(A281="","",SUMIFS(Clases!$I:$I,Clases!$C:$C,A281,Clases!$J:$J,"&lt;&gt;Reprogramada"))</f>
        <v/>
      </c>
      <c r="P281" s="18">
        <f>IF(A281="","",N281-O281)</f>
        <v/>
      </c>
      <c r="Q281" s="20">
        <f>IF(A281="","",SUMIFS(Ventas!$I:$I,Ventas!$C:$C,A281))</f>
        <v/>
      </c>
      <c r="R281" s="20">
        <f>IF(A281="","",SUMIFS(Pagos!$E:$E,Pagos!$C:$C,A281))</f>
        <v/>
      </c>
      <c r="S281" s="20">
        <f>IF(A281="","",Q281-R281)</f>
        <v/>
      </c>
    </row>
    <row r="282">
      <c r="A282" s="18">
        <f>IF(B282="","","A"&amp;TEXT(ROW()-1,"000"))</f>
        <v/>
      </c>
      <c r="I282" s="19" t="n"/>
      <c r="N282" s="18">
        <f>IF(A282="","",SUMIFS(Ventas!$F:$F,Ventas!$C:$C,A282))</f>
        <v/>
      </c>
      <c r="O282" s="18">
        <f>IF(A282="","",SUMIFS(Clases!$I:$I,Clases!$C:$C,A282,Clases!$J:$J,"&lt;&gt;Reprogramada"))</f>
        <v/>
      </c>
      <c r="P282" s="18">
        <f>IF(A282="","",N282-O282)</f>
        <v/>
      </c>
      <c r="Q282" s="20">
        <f>IF(A282="","",SUMIFS(Ventas!$I:$I,Ventas!$C:$C,A282))</f>
        <v/>
      </c>
      <c r="R282" s="20">
        <f>IF(A282="","",SUMIFS(Pagos!$E:$E,Pagos!$C:$C,A282))</f>
        <v/>
      </c>
      <c r="S282" s="20">
        <f>IF(A282="","",Q282-R282)</f>
        <v/>
      </c>
    </row>
    <row r="283">
      <c r="A283" s="18">
        <f>IF(B283="","","A"&amp;TEXT(ROW()-1,"000"))</f>
        <v/>
      </c>
      <c r="I283" s="19" t="n"/>
      <c r="N283" s="18">
        <f>IF(A283="","",SUMIFS(Ventas!$F:$F,Ventas!$C:$C,A283))</f>
        <v/>
      </c>
      <c r="O283" s="18">
        <f>IF(A283="","",SUMIFS(Clases!$I:$I,Clases!$C:$C,A283,Clases!$J:$J,"&lt;&gt;Reprogramada"))</f>
        <v/>
      </c>
      <c r="P283" s="18">
        <f>IF(A283="","",N283-O283)</f>
        <v/>
      </c>
      <c r="Q283" s="20">
        <f>IF(A283="","",SUMIFS(Ventas!$I:$I,Ventas!$C:$C,A283))</f>
        <v/>
      </c>
      <c r="R283" s="20">
        <f>IF(A283="","",SUMIFS(Pagos!$E:$E,Pagos!$C:$C,A283))</f>
        <v/>
      </c>
      <c r="S283" s="20">
        <f>IF(A283="","",Q283-R283)</f>
        <v/>
      </c>
    </row>
    <row r="284">
      <c r="A284" s="18">
        <f>IF(B284="","","A"&amp;TEXT(ROW()-1,"000"))</f>
        <v/>
      </c>
      <c r="I284" s="19" t="n"/>
      <c r="N284" s="18">
        <f>IF(A284="","",SUMIFS(Ventas!$F:$F,Ventas!$C:$C,A284))</f>
        <v/>
      </c>
      <c r="O284" s="18">
        <f>IF(A284="","",SUMIFS(Clases!$I:$I,Clases!$C:$C,A284,Clases!$J:$J,"&lt;&gt;Reprogramada"))</f>
        <v/>
      </c>
      <c r="P284" s="18">
        <f>IF(A284="","",N284-O284)</f>
        <v/>
      </c>
      <c r="Q284" s="20">
        <f>IF(A284="","",SUMIFS(Ventas!$I:$I,Ventas!$C:$C,A284))</f>
        <v/>
      </c>
      <c r="R284" s="20">
        <f>IF(A284="","",SUMIFS(Pagos!$E:$E,Pagos!$C:$C,A284))</f>
        <v/>
      </c>
      <c r="S284" s="20">
        <f>IF(A284="","",Q284-R284)</f>
        <v/>
      </c>
    </row>
    <row r="285">
      <c r="A285" s="18">
        <f>IF(B285="","","A"&amp;TEXT(ROW()-1,"000"))</f>
        <v/>
      </c>
      <c r="I285" s="19" t="n"/>
      <c r="N285" s="18">
        <f>IF(A285="","",SUMIFS(Ventas!$F:$F,Ventas!$C:$C,A285))</f>
        <v/>
      </c>
      <c r="O285" s="18">
        <f>IF(A285="","",SUMIFS(Clases!$I:$I,Clases!$C:$C,A285,Clases!$J:$J,"&lt;&gt;Reprogramada"))</f>
        <v/>
      </c>
      <c r="P285" s="18">
        <f>IF(A285="","",N285-O285)</f>
        <v/>
      </c>
      <c r="Q285" s="20">
        <f>IF(A285="","",SUMIFS(Ventas!$I:$I,Ventas!$C:$C,A285))</f>
        <v/>
      </c>
      <c r="R285" s="20">
        <f>IF(A285="","",SUMIFS(Pagos!$E:$E,Pagos!$C:$C,A285))</f>
        <v/>
      </c>
      <c r="S285" s="20">
        <f>IF(A285="","",Q285-R285)</f>
        <v/>
      </c>
    </row>
    <row r="286">
      <c r="A286" s="18">
        <f>IF(B286="","","A"&amp;TEXT(ROW()-1,"000"))</f>
        <v/>
      </c>
      <c r="I286" s="19" t="n"/>
      <c r="N286" s="18">
        <f>IF(A286="","",SUMIFS(Ventas!$F:$F,Ventas!$C:$C,A286))</f>
        <v/>
      </c>
      <c r="O286" s="18">
        <f>IF(A286="","",SUMIFS(Clases!$I:$I,Clases!$C:$C,A286,Clases!$J:$J,"&lt;&gt;Reprogramada"))</f>
        <v/>
      </c>
      <c r="P286" s="18">
        <f>IF(A286="","",N286-O286)</f>
        <v/>
      </c>
      <c r="Q286" s="20">
        <f>IF(A286="","",SUMIFS(Ventas!$I:$I,Ventas!$C:$C,A286))</f>
        <v/>
      </c>
      <c r="R286" s="20">
        <f>IF(A286="","",SUMIFS(Pagos!$E:$E,Pagos!$C:$C,A286))</f>
        <v/>
      </c>
      <c r="S286" s="20">
        <f>IF(A286="","",Q286-R286)</f>
        <v/>
      </c>
    </row>
    <row r="287">
      <c r="A287" s="18">
        <f>IF(B287="","","A"&amp;TEXT(ROW()-1,"000"))</f>
        <v/>
      </c>
      <c r="I287" s="19" t="n"/>
      <c r="N287" s="18">
        <f>IF(A287="","",SUMIFS(Ventas!$F:$F,Ventas!$C:$C,A287))</f>
        <v/>
      </c>
      <c r="O287" s="18">
        <f>IF(A287="","",SUMIFS(Clases!$I:$I,Clases!$C:$C,A287,Clases!$J:$J,"&lt;&gt;Reprogramada"))</f>
        <v/>
      </c>
      <c r="P287" s="18">
        <f>IF(A287="","",N287-O287)</f>
        <v/>
      </c>
      <c r="Q287" s="20">
        <f>IF(A287="","",SUMIFS(Ventas!$I:$I,Ventas!$C:$C,A287))</f>
        <v/>
      </c>
      <c r="R287" s="20">
        <f>IF(A287="","",SUMIFS(Pagos!$E:$E,Pagos!$C:$C,A287))</f>
        <v/>
      </c>
      <c r="S287" s="20">
        <f>IF(A287="","",Q287-R287)</f>
        <v/>
      </c>
    </row>
    <row r="288">
      <c r="A288" s="18">
        <f>IF(B288="","","A"&amp;TEXT(ROW()-1,"000"))</f>
        <v/>
      </c>
      <c r="I288" s="19" t="n"/>
      <c r="N288" s="18">
        <f>IF(A288="","",SUMIFS(Ventas!$F:$F,Ventas!$C:$C,A288))</f>
        <v/>
      </c>
      <c r="O288" s="18">
        <f>IF(A288="","",SUMIFS(Clases!$I:$I,Clases!$C:$C,A288,Clases!$J:$J,"&lt;&gt;Reprogramada"))</f>
        <v/>
      </c>
      <c r="P288" s="18">
        <f>IF(A288="","",N288-O288)</f>
        <v/>
      </c>
      <c r="Q288" s="20">
        <f>IF(A288="","",SUMIFS(Ventas!$I:$I,Ventas!$C:$C,A288))</f>
        <v/>
      </c>
      <c r="R288" s="20">
        <f>IF(A288="","",SUMIFS(Pagos!$E:$E,Pagos!$C:$C,A288))</f>
        <v/>
      </c>
      <c r="S288" s="20">
        <f>IF(A288="","",Q288-R288)</f>
        <v/>
      </c>
    </row>
    <row r="289">
      <c r="A289" s="18">
        <f>IF(B289="","","A"&amp;TEXT(ROW()-1,"000"))</f>
        <v/>
      </c>
      <c r="I289" s="19" t="n"/>
      <c r="N289" s="18">
        <f>IF(A289="","",SUMIFS(Ventas!$F:$F,Ventas!$C:$C,A289))</f>
        <v/>
      </c>
      <c r="O289" s="18">
        <f>IF(A289="","",SUMIFS(Clases!$I:$I,Clases!$C:$C,A289,Clases!$J:$J,"&lt;&gt;Reprogramada"))</f>
        <v/>
      </c>
      <c r="P289" s="18">
        <f>IF(A289="","",N289-O289)</f>
        <v/>
      </c>
      <c r="Q289" s="20">
        <f>IF(A289="","",SUMIFS(Ventas!$I:$I,Ventas!$C:$C,A289))</f>
        <v/>
      </c>
      <c r="R289" s="20">
        <f>IF(A289="","",SUMIFS(Pagos!$E:$E,Pagos!$C:$C,A289))</f>
        <v/>
      </c>
      <c r="S289" s="20">
        <f>IF(A289="","",Q289-R289)</f>
        <v/>
      </c>
    </row>
    <row r="290">
      <c r="A290" s="18">
        <f>IF(B290="","","A"&amp;TEXT(ROW()-1,"000"))</f>
        <v/>
      </c>
      <c r="I290" s="19" t="n"/>
      <c r="N290" s="18">
        <f>IF(A290="","",SUMIFS(Ventas!$F:$F,Ventas!$C:$C,A290))</f>
        <v/>
      </c>
      <c r="O290" s="18">
        <f>IF(A290="","",SUMIFS(Clases!$I:$I,Clases!$C:$C,A290,Clases!$J:$J,"&lt;&gt;Reprogramada"))</f>
        <v/>
      </c>
      <c r="P290" s="18">
        <f>IF(A290="","",N290-O290)</f>
        <v/>
      </c>
      <c r="Q290" s="20">
        <f>IF(A290="","",SUMIFS(Ventas!$I:$I,Ventas!$C:$C,A290))</f>
        <v/>
      </c>
      <c r="R290" s="20">
        <f>IF(A290="","",SUMIFS(Pagos!$E:$E,Pagos!$C:$C,A290))</f>
        <v/>
      </c>
      <c r="S290" s="20">
        <f>IF(A290="","",Q290-R290)</f>
        <v/>
      </c>
    </row>
    <row r="291">
      <c r="A291" s="18">
        <f>IF(B291="","","A"&amp;TEXT(ROW()-1,"000"))</f>
        <v/>
      </c>
      <c r="I291" s="19" t="n"/>
      <c r="N291" s="18">
        <f>IF(A291="","",SUMIFS(Ventas!$F:$F,Ventas!$C:$C,A291))</f>
        <v/>
      </c>
      <c r="O291" s="18">
        <f>IF(A291="","",SUMIFS(Clases!$I:$I,Clases!$C:$C,A291,Clases!$J:$J,"&lt;&gt;Reprogramada"))</f>
        <v/>
      </c>
      <c r="P291" s="18">
        <f>IF(A291="","",N291-O291)</f>
        <v/>
      </c>
      <c r="Q291" s="20">
        <f>IF(A291="","",SUMIFS(Ventas!$I:$I,Ventas!$C:$C,A291))</f>
        <v/>
      </c>
      <c r="R291" s="20">
        <f>IF(A291="","",SUMIFS(Pagos!$E:$E,Pagos!$C:$C,A291))</f>
        <v/>
      </c>
      <c r="S291" s="20">
        <f>IF(A291="","",Q291-R291)</f>
        <v/>
      </c>
    </row>
    <row r="292">
      <c r="A292" s="18">
        <f>IF(B292="","","A"&amp;TEXT(ROW()-1,"000"))</f>
        <v/>
      </c>
      <c r="I292" s="19" t="n"/>
      <c r="N292" s="18">
        <f>IF(A292="","",SUMIFS(Ventas!$F:$F,Ventas!$C:$C,A292))</f>
        <v/>
      </c>
      <c r="O292" s="18">
        <f>IF(A292="","",SUMIFS(Clases!$I:$I,Clases!$C:$C,A292,Clases!$J:$J,"&lt;&gt;Reprogramada"))</f>
        <v/>
      </c>
      <c r="P292" s="18">
        <f>IF(A292="","",N292-O292)</f>
        <v/>
      </c>
      <c r="Q292" s="20">
        <f>IF(A292="","",SUMIFS(Ventas!$I:$I,Ventas!$C:$C,A292))</f>
        <v/>
      </c>
      <c r="R292" s="20">
        <f>IF(A292="","",SUMIFS(Pagos!$E:$E,Pagos!$C:$C,A292))</f>
        <v/>
      </c>
      <c r="S292" s="20">
        <f>IF(A292="","",Q292-R292)</f>
        <v/>
      </c>
    </row>
    <row r="293">
      <c r="A293" s="18">
        <f>IF(B293="","","A"&amp;TEXT(ROW()-1,"000"))</f>
        <v/>
      </c>
      <c r="I293" s="19" t="n"/>
      <c r="N293" s="18">
        <f>IF(A293="","",SUMIFS(Ventas!$F:$F,Ventas!$C:$C,A293))</f>
        <v/>
      </c>
      <c r="O293" s="18">
        <f>IF(A293="","",SUMIFS(Clases!$I:$I,Clases!$C:$C,A293,Clases!$J:$J,"&lt;&gt;Reprogramada"))</f>
        <v/>
      </c>
      <c r="P293" s="18">
        <f>IF(A293="","",N293-O293)</f>
        <v/>
      </c>
      <c r="Q293" s="20">
        <f>IF(A293="","",SUMIFS(Ventas!$I:$I,Ventas!$C:$C,A293))</f>
        <v/>
      </c>
      <c r="R293" s="20">
        <f>IF(A293="","",SUMIFS(Pagos!$E:$E,Pagos!$C:$C,A293))</f>
        <v/>
      </c>
      <c r="S293" s="20">
        <f>IF(A293="","",Q293-R293)</f>
        <v/>
      </c>
    </row>
    <row r="294">
      <c r="A294" s="18">
        <f>IF(B294="","","A"&amp;TEXT(ROW()-1,"000"))</f>
        <v/>
      </c>
      <c r="I294" s="19" t="n"/>
      <c r="N294" s="18">
        <f>IF(A294="","",SUMIFS(Ventas!$F:$F,Ventas!$C:$C,A294))</f>
        <v/>
      </c>
      <c r="O294" s="18">
        <f>IF(A294="","",SUMIFS(Clases!$I:$I,Clases!$C:$C,A294,Clases!$J:$J,"&lt;&gt;Reprogramada"))</f>
        <v/>
      </c>
      <c r="P294" s="18">
        <f>IF(A294="","",N294-O294)</f>
        <v/>
      </c>
      <c r="Q294" s="20">
        <f>IF(A294="","",SUMIFS(Ventas!$I:$I,Ventas!$C:$C,A294))</f>
        <v/>
      </c>
      <c r="R294" s="20">
        <f>IF(A294="","",SUMIFS(Pagos!$E:$E,Pagos!$C:$C,A294))</f>
        <v/>
      </c>
      <c r="S294" s="20">
        <f>IF(A294="","",Q294-R294)</f>
        <v/>
      </c>
    </row>
    <row r="295">
      <c r="A295" s="18">
        <f>IF(B295="","","A"&amp;TEXT(ROW()-1,"000"))</f>
        <v/>
      </c>
      <c r="I295" s="19" t="n"/>
      <c r="N295" s="18">
        <f>IF(A295="","",SUMIFS(Ventas!$F:$F,Ventas!$C:$C,A295))</f>
        <v/>
      </c>
      <c r="O295" s="18">
        <f>IF(A295="","",SUMIFS(Clases!$I:$I,Clases!$C:$C,A295,Clases!$J:$J,"&lt;&gt;Reprogramada"))</f>
        <v/>
      </c>
      <c r="P295" s="18">
        <f>IF(A295="","",N295-O295)</f>
        <v/>
      </c>
      <c r="Q295" s="20">
        <f>IF(A295="","",SUMIFS(Ventas!$I:$I,Ventas!$C:$C,A295))</f>
        <v/>
      </c>
      <c r="R295" s="20">
        <f>IF(A295="","",SUMIFS(Pagos!$E:$E,Pagos!$C:$C,A295))</f>
        <v/>
      </c>
      <c r="S295" s="20">
        <f>IF(A295="","",Q295-R295)</f>
        <v/>
      </c>
    </row>
    <row r="296">
      <c r="A296" s="18">
        <f>IF(B296="","","A"&amp;TEXT(ROW()-1,"000"))</f>
        <v/>
      </c>
      <c r="I296" s="19" t="n"/>
      <c r="N296" s="18">
        <f>IF(A296="","",SUMIFS(Ventas!$F:$F,Ventas!$C:$C,A296))</f>
        <v/>
      </c>
      <c r="O296" s="18">
        <f>IF(A296="","",SUMIFS(Clases!$I:$I,Clases!$C:$C,A296,Clases!$J:$J,"&lt;&gt;Reprogramada"))</f>
        <v/>
      </c>
      <c r="P296" s="18">
        <f>IF(A296="","",N296-O296)</f>
        <v/>
      </c>
      <c r="Q296" s="20">
        <f>IF(A296="","",SUMIFS(Ventas!$I:$I,Ventas!$C:$C,A296))</f>
        <v/>
      </c>
      <c r="R296" s="20">
        <f>IF(A296="","",SUMIFS(Pagos!$E:$E,Pagos!$C:$C,A296))</f>
        <v/>
      </c>
      <c r="S296" s="20">
        <f>IF(A296="","",Q296-R296)</f>
        <v/>
      </c>
    </row>
    <row r="297">
      <c r="A297" s="18">
        <f>IF(B297="","","A"&amp;TEXT(ROW()-1,"000"))</f>
        <v/>
      </c>
      <c r="I297" s="19" t="n"/>
      <c r="N297" s="18">
        <f>IF(A297="","",SUMIFS(Ventas!$F:$F,Ventas!$C:$C,A297))</f>
        <v/>
      </c>
      <c r="O297" s="18">
        <f>IF(A297="","",SUMIFS(Clases!$I:$I,Clases!$C:$C,A297,Clases!$J:$J,"&lt;&gt;Reprogramada"))</f>
        <v/>
      </c>
      <c r="P297" s="18">
        <f>IF(A297="","",N297-O297)</f>
        <v/>
      </c>
      <c r="Q297" s="20">
        <f>IF(A297="","",SUMIFS(Ventas!$I:$I,Ventas!$C:$C,A297))</f>
        <v/>
      </c>
      <c r="R297" s="20">
        <f>IF(A297="","",SUMIFS(Pagos!$E:$E,Pagos!$C:$C,A297))</f>
        <v/>
      </c>
      <c r="S297" s="20">
        <f>IF(A297="","",Q297-R297)</f>
        <v/>
      </c>
    </row>
    <row r="298">
      <c r="A298" s="18">
        <f>IF(B298="","","A"&amp;TEXT(ROW()-1,"000"))</f>
        <v/>
      </c>
      <c r="I298" s="19" t="n"/>
      <c r="N298" s="18">
        <f>IF(A298="","",SUMIFS(Ventas!$F:$F,Ventas!$C:$C,A298))</f>
        <v/>
      </c>
      <c r="O298" s="18">
        <f>IF(A298="","",SUMIFS(Clases!$I:$I,Clases!$C:$C,A298,Clases!$J:$J,"&lt;&gt;Reprogramada"))</f>
        <v/>
      </c>
      <c r="P298" s="18">
        <f>IF(A298="","",N298-O298)</f>
        <v/>
      </c>
      <c r="Q298" s="20">
        <f>IF(A298="","",SUMIFS(Ventas!$I:$I,Ventas!$C:$C,A298))</f>
        <v/>
      </c>
      <c r="R298" s="20">
        <f>IF(A298="","",SUMIFS(Pagos!$E:$E,Pagos!$C:$C,A298))</f>
        <v/>
      </c>
      <c r="S298" s="20">
        <f>IF(A298="","",Q298-R298)</f>
        <v/>
      </c>
    </row>
    <row r="299">
      <c r="A299" s="18">
        <f>IF(B299="","","A"&amp;TEXT(ROW()-1,"000"))</f>
        <v/>
      </c>
      <c r="I299" s="19" t="n"/>
      <c r="N299" s="18">
        <f>IF(A299="","",SUMIFS(Ventas!$F:$F,Ventas!$C:$C,A299))</f>
        <v/>
      </c>
      <c r="O299" s="18">
        <f>IF(A299="","",SUMIFS(Clases!$I:$I,Clases!$C:$C,A299,Clases!$J:$J,"&lt;&gt;Reprogramada"))</f>
        <v/>
      </c>
      <c r="P299" s="18">
        <f>IF(A299="","",N299-O299)</f>
        <v/>
      </c>
      <c r="Q299" s="20">
        <f>IF(A299="","",SUMIFS(Ventas!$I:$I,Ventas!$C:$C,A299))</f>
        <v/>
      </c>
      <c r="R299" s="20">
        <f>IF(A299="","",SUMIFS(Pagos!$E:$E,Pagos!$C:$C,A299))</f>
        <v/>
      </c>
      <c r="S299" s="20">
        <f>IF(A299="","",Q299-R299)</f>
        <v/>
      </c>
    </row>
    <row r="300">
      <c r="A300" s="18">
        <f>IF(B300="","","A"&amp;TEXT(ROW()-1,"000"))</f>
        <v/>
      </c>
      <c r="I300" s="19" t="n"/>
      <c r="N300" s="18">
        <f>IF(A300="","",SUMIFS(Ventas!$F:$F,Ventas!$C:$C,A300))</f>
        <v/>
      </c>
      <c r="O300" s="18">
        <f>IF(A300="","",SUMIFS(Clases!$I:$I,Clases!$C:$C,A300,Clases!$J:$J,"&lt;&gt;Reprogramada"))</f>
        <v/>
      </c>
      <c r="P300" s="18">
        <f>IF(A300="","",N300-O300)</f>
        <v/>
      </c>
      <c r="Q300" s="20">
        <f>IF(A300="","",SUMIFS(Ventas!$I:$I,Ventas!$C:$C,A300))</f>
        <v/>
      </c>
      <c r="R300" s="20">
        <f>IF(A300="","",SUMIFS(Pagos!$E:$E,Pagos!$C:$C,A300))</f>
        <v/>
      </c>
      <c r="S300" s="20">
        <f>IF(A300="","",Q300-R300)</f>
        <v/>
      </c>
    </row>
    <row r="301">
      <c r="A301" s="18">
        <f>IF(B301="","","A"&amp;TEXT(ROW()-1,"000"))</f>
        <v/>
      </c>
      <c r="I301" s="19" t="n"/>
      <c r="N301" s="18">
        <f>IF(A301="","",SUMIFS(Ventas!$F:$F,Ventas!$C:$C,A301))</f>
        <v/>
      </c>
      <c r="O301" s="18">
        <f>IF(A301="","",SUMIFS(Clases!$I:$I,Clases!$C:$C,A301,Clases!$J:$J,"&lt;&gt;Reprogramada"))</f>
        <v/>
      </c>
      <c r="P301" s="18">
        <f>IF(A301="","",N301-O301)</f>
        <v/>
      </c>
      <c r="Q301" s="20">
        <f>IF(A301="","",SUMIFS(Ventas!$I:$I,Ventas!$C:$C,A301))</f>
        <v/>
      </c>
      <c r="R301" s="20">
        <f>IF(A301="","",SUMIFS(Pagos!$E:$E,Pagos!$C:$C,A301))</f>
        <v/>
      </c>
      <c r="S301" s="20">
        <f>IF(A301="","",Q301-R301)</f>
        <v/>
      </c>
    </row>
    <row r="302">
      <c r="A302" s="18">
        <f>IF(B302="","","A"&amp;TEXT(ROW()-1,"000"))</f>
        <v/>
      </c>
      <c r="I302" s="19" t="n"/>
      <c r="N302" s="18">
        <f>IF(A302="","",SUMIFS(Ventas!$F:$F,Ventas!$C:$C,A302))</f>
        <v/>
      </c>
      <c r="O302" s="18">
        <f>IF(A302="","",SUMIFS(Clases!$I:$I,Clases!$C:$C,A302,Clases!$J:$J,"&lt;&gt;Reprogramada"))</f>
        <v/>
      </c>
      <c r="P302" s="18">
        <f>IF(A302="","",N302-O302)</f>
        <v/>
      </c>
      <c r="Q302" s="20">
        <f>IF(A302="","",SUMIFS(Ventas!$I:$I,Ventas!$C:$C,A302))</f>
        <v/>
      </c>
      <c r="R302" s="20">
        <f>IF(A302="","",SUMIFS(Pagos!$E:$E,Pagos!$C:$C,A302))</f>
        <v/>
      </c>
      <c r="S302" s="20">
        <f>IF(A302="","",Q302-R302)</f>
        <v/>
      </c>
    </row>
    <row r="303">
      <c r="A303" s="18">
        <f>IF(B303="","","A"&amp;TEXT(ROW()-1,"000"))</f>
        <v/>
      </c>
      <c r="I303" s="19" t="n"/>
      <c r="N303" s="18">
        <f>IF(A303="","",SUMIFS(Ventas!$F:$F,Ventas!$C:$C,A303))</f>
        <v/>
      </c>
      <c r="O303" s="18">
        <f>IF(A303="","",SUMIFS(Clases!$I:$I,Clases!$C:$C,A303,Clases!$J:$J,"&lt;&gt;Reprogramada"))</f>
        <v/>
      </c>
      <c r="P303" s="18">
        <f>IF(A303="","",N303-O303)</f>
        <v/>
      </c>
      <c r="Q303" s="20">
        <f>IF(A303="","",SUMIFS(Ventas!$I:$I,Ventas!$C:$C,A303))</f>
        <v/>
      </c>
      <c r="R303" s="20">
        <f>IF(A303="","",SUMIFS(Pagos!$E:$E,Pagos!$C:$C,A303))</f>
        <v/>
      </c>
      <c r="S303" s="20">
        <f>IF(A303="","",Q303-R303)</f>
        <v/>
      </c>
    </row>
    <row r="304">
      <c r="A304" s="18">
        <f>IF(B304="","","A"&amp;TEXT(ROW()-1,"000"))</f>
        <v/>
      </c>
      <c r="I304" s="19" t="n"/>
      <c r="N304" s="18">
        <f>IF(A304="","",SUMIFS(Ventas!$F:$F,Ventas!$C:$C,A304))</f>
        <v/>
      </c>
      <c r="O304" s="18">
        <f>IF(A304="","",SUMIFS(Clases!$I:$I,Clases!$C:$C,A304,Clases!$J:$J,"&lt;&gt;Reprogramada"))</f>
        <v/>
      </c>
      <c r="P304" s="18">
        <f>IF(A304="","",N304-O304)</f>
        <v/>
      </c>
      <c r="Q304" s="20">
        <f>IF(A304="","",SUMIFS(Ventas!$I:$I,Ventas!$C:$C,A304))</f>
        <v/>
      </c>
      <c r="R304" s="20">
        <f>IF(A304="","",SUMIFS(Pagos!$E:$E,Pagos!$C:$C,A304))</f>
        <v/>
      </c>
      <c r="S304" s="20">
        <f>IF(A304="","",Q304-R304)</f>
        <v/>
      </c>
    </row>
    <row r="305">
      <c r="A305" s="18">
        <f>IF(B305="","","A"&amp;TEXT(ROW()-1,"000"))</f>
        <v/>
      </c>
      <c r="I305" s="19" t="n"/>
      <c r="N305" s="18">
        <f>IF(A305="","",SUMIFS(Ventas!$F:$F,Ventas!$C:$C,A305))</f>
        <v/>
      </c>
      <c r="O305" s="18">
        <f>IF(A305="","",SUMIFS(Clases!$I:$I,Clases!$C:$C,A305,Clases!$J:$J,"&lt;&gt;Reprogramada"))</f>
        <v/>
      </c>
      <c r="P305" s="18">
        <f>IF(A305="","",N305-O305)</f>
        <v/>
      </c>
      <c r="Q305" s="20">
        <f>IF(A305="","",SUMIFS(Ventas!$I:$I,Ventas!$C:$C,A305))</f>
        <v/>
      </c>
      <c r="R305" s="20">
        <f>IF(A305="","",SUMIFS(Pagos!$E:$E,Pagos!$C:$C,A305))</f>
        <v/>
      </c>
      <c r="S305" s="20">
        <f>IF(A305="","",Q305-R305)</f>
        <v/>
      </c>
    </row>
    <row r="306">
      <c r="A306" s="18">
        <f>IF(B306="","","A"&amp;TEXT(ROW()-1,"000"))</f>
        <v/>
      </c>
      <c r="I306" s="19" t="n"/>
      <c r="N306" s="18">
        <f>IF(A306="","",SUMIFS(Ventas!$F:$F,Ventas!$C:$C,A306))</f>
        <v/>
      </c>
      <c r="O306" s="18">
        <f>IF(A306="","",SUMIFS(Clases!$I:$I,Clases!$C:$C,A306,Clases!$J:$J,"&lt;&gt;Reprogramada"))</f>
        <v/>
      </c>
      <c r="P306" s="18">
        <f>IF(A306="","",N306-O306)</f>
        <v/>
      </c>
      <c r="Q306" s="20">
        <f>IF(A306="","",SUMIFS(Ventas!$I:$I,Ventas!$C:$C,A306))</f>
        <v/>
      </c>
      <c r="R306" s="20">
        <f>IF(A306="","",SUMIFS(Pagos!$E:$E,Pagos!$C:$C,A306))</f>
        <v/>
      </c>
      <c r="S306" s="20">
        <f>IF(A306="","",Q306-R306)</f>
        <v/>
      </c>
    </row>
    <row r="307">
      <c r="A307" s="18">
        <f>IF(B307="","","A"&amp;TEXT(ROW()-1,"000"))</f>
        <v/>
      </c>
      <c r="I307" s="19" t="n"/>
      <c r="N307" s="18">
        <f>IF(A307="","",SUMIFS(Ventas!$F:$F,Ventas!$C:$C,A307))</f>
        <v/>
      </c>
      <c r="O307" s="18">
        <f>IF(A307="","",SUMIFS(Clases!$I:$I,Clases!$C:$C,A307,Clases!$J:$J,"&lt;&gt;Reprogramada"))</f>
        <v/>
      </c>
      <c r="P307" s="18">
        <f>IF(A307="","",N307-O307)</f>
        <v/>
      </c>
      <c r="Q307" s="20">
        <f>IF(A307="","",SUMIFS(Ventas!$I:$I,Ventas!$C:$C,A307))</f>
        <v/>
      </c>
      <c r="R307" s="20">
        <f>IF(A307="","",SUMIFS(Pagos!$E:$E,Pagos!$C:$C,A307))</f>
        <v/>
      </c>
      <c r="S307" s="20">
        <f>IF(A307="","",Q307-R307)</f>
        <v/>
      </c>
    </row>
    <row r="308">
      <c r="A308" s="18">
        <f>IF(B308="","","A"&amp;TEXT(ROW()-1,"000"))</f>
        <v/>
      </c>
      <c r="I308" s="19" t="n"/>
      <c r="N308" s="18">
        <f>IF(A308="","",SUMIFS(Ventas!$F:$F,Ventas!$C:$C,A308))</f>
        <v/>
      </c>
      <c r="O308" s="18">
        <f>IF(A308="","",SUMIFS(Clases!$I:$I,Clases!$C:$C,A308,Clases!$J:$J,"&lt;&gt;Reprogramada"))</f>
        <v/>
      </c>
      <c r="P308" s="18">
        <f>IF(A308="","",N308-O308)</f>
        <v/>
      </c>
      <c r="Q308" s="20">
        <f>IF(A308="","",SUMIFS(Ventas!$I:$I,Ventas!$C:$C,A308))</f>
        <v/>
      </c>
      <c r="R308" s="20">
        <f>IF(A308="","",SUMIFS(Pagos!$E:$E,Pagos!$C:$C,A308))</f>
        <v/>
      </c>
      <c r="S308" s="20">
        <f>IF(A308="","",Q308-R308)</f>
        <v/>
      </c>
    </row>
    <row r="309">
      <c r="A309" s="18">
        <f>IF(B309="","","A"&amp;TEXT(ROW()-1,"000"))</f>
        <v/>
      </c>
      <c r="I309" s="19" t="n"/>
      <c r="N309" s="18">
        <f>IF(A309="","",SUMIFS(Ventas!$F:$F,Ventas!$C:$C,A309))</f>
        <v/>
      </c>
      <c r="O309" s="18">
        <f>IF(A309="","",SUMIFS(Clases!$I:$I,Clases!$C:$C,A309,Clases!$J:$J,"&lt;&gt;Reprogramada"))</f>
        <v/>
      </c>
      <c r="P309" s="18">
        <f>IF(A309="","",N309-O309)</f>
        <v/>
      </c>
      <c r="Q309" s="20">
        <f>IF(A309="","",SUMIFS(Ventas!$I:$I,Ventas!$C:$C,A309))</f>
        <v/>
      </c>
      <c r="R309" s="20">
        <f>IF(A309="","",SUMIFS(Pagos!$E:$E,Pagos!$C:$C,A309))</f>
        <v/>
      </c>
      <c r="S309" s="20">
        <f>IF(A309="","",Q309-R309)</f>
        <v/>
      </c>
    </row>
    <row r="310">
      <c r="A310" s="18">
        <f>IF(B310="","","A"&amp;TEXT(ROW()-1,"000"))</f>
        <v/>
      </c>
      <c r="I310" s="19" t="n"/>
      <c r="N310" s="18">
        <f>IF(A310="","",SUMIFS(Ventas!$F:$F,Ventas!$C:$C,A310))</f>
        <v/>
      </c>
      <c r="O310" s="18">
        <f>IF(A310="","",SUMIFS(Clases!$I:$I,Clases!$C:$C,A310,Clases!$J:$J,"&lt;&gt;Reprogramada"))</f>
        <v/>
      </c>
      <c r="P310" s="18">
        <f>IF(A310="","",N310-O310)</f>
        <v/>
      </c>
      <c r="Q310" s="20">
        <f>IF(A310="","",SUMIFS(Ventas!$I:$I,Ventas!$C:$C,A310))</f>
        <v/>
      </c>
      <c r="R310" s="20">
        <f>IF(A310="","",SUMIFS(Pagos!$E:$E,Pagos!$C:$C,A310))</f>
        <v/>
      </c>
      <c r="S310" s="20">
        <f>IF(A310="","",Q310-R310)</f>
        <v/>
      </c>
    </row>
    <row r="311">
      <c r="A311" s="18">
        <f>IF(B311="","","A"&amp;TEXT(ROW()-1,"000"))</f>
        <v/>
      </c>
      <c r="I311" s="19" t="n"/>
      <c r="N311" s="18">
        <f>IF(A311="","",SUMIFS(Ventas!$F:$F,Ventas!$C:$C,A311))</f>
        <v/>
      </c>
      <c r="O311" s="18">
        <f>IF(A311="","",SUMIFS(Clases!$I:$I,Clases!$C:$C,A311,Clases!$J:$J,"&lt;&gt;Reprogramada"))</f>
        <v/>
      </c>
      <c r="P311" s="18">
        <f>IF(A311="","",N311-O311)</f>
        <v/>
      </c>
      <c r="Q311" s="20">
        <f>IF(A311="","",SUMIFS(Ventas!$I:$I,Ventas!$C:$C,A311))</f>
        <v/>
      </c>
      <c r="R311" s="20">
        <f>IF(A311="","",SUMIFS(Pagos!$E:$E,Pagos!$C:$C,A311))</f>
        <v/>
      </c>
      <c r="S311" s="20">
        <f>IF(A311="","",Q311-R311)</f>
        <v/>
      </c>
    </row>
    <row r="312">
      <c r="A312" s="18">
        <f>IF(B312="","","A"&amp;TEXT(ROW()-1,"000"))</f>
        <v/>
      </c>
      <c r="I312" s="19" t="n"/>
      <c r="N312" s="18">
        <f>IF(A312="","",SUMIFS(Ventas!$F:$F,Ventas!$C:$C,A312))</f>
        <v/>
      </c>
      <c r="O312" s="18">
        <f>IF(A312="","",SUMIFS(Clases!$I:$I,Clases!$C:$C,A312,Clases!$J:$J,"&lt;&gt;Reprogramada"))</f>
        <v/>
      </c>
      <c r="P312" s="18">
        <f>IF(A312="","",N312-O312)</f>
        <v/>
      </c>
      <c r="Q312" s="20">
        <f>IF(A312="","",SUMIFS(Ventas!$I:$I,Ventas!$C:$C,A312))</f>
        <v/>
      </c>
      <c r="R312" s="20">
        <f>IF(A312="","",SUMIFS(Pagos!$E:$E,Pagos!$C:$C,A312))</f>
        <v/>
      </c>
      <c r="S312" s="20">
        <f>IF(A312="","",Q312-R312)</f>
        <v/>
      </c>
    </row>
    <row r="313">
      <c r="A313" s="18">
        <f>IF(B313="","","A"&amp;TEXT(ROW()-1,"000"))</f>
        <v/>
      </c>
      <c r="I313" s="19" t="n"/>
      <c r="N313" s="18">
        <f>IF(A313="","",SUMIFS(Ventas!$F:$F,Ventas!$C:$C,A313))</f>
        <v/>
      </c>
      <c r="O313" s="18">
        <f>IF(A313="","",SUMIFS(Clases!$I:$I,Clases!$C:$C,A313,Clases!$J:$J,"&lt;&gt;Reprogramada"))</f>
        <v/>
      </c>
      <c r="P313" s="18">
        <f>IF(A313="","",N313-O313)</f>
        <v/>
      </c>
      <c r="Q313" s="20">
        <f>IF(A313="","",SUMIFS(Ventas!$I:$I,Ventas!$C:$C,A313))</f>
        <v/>
      </c>
      <c r="R313" s="20">
        <f>IF(A313="","",SUMIFS(Pagos!$E:$E,Pagos!$C:$C,A313))</f>
        <v/>
      </c>
      <c r="S313" s="20">
        <f>IF(A313="","",Q313-R313)</f>
        <v/>
      </c>
    </row>
    <row r="314">
      <c r="A314" s="18">
        <f>IF(B314="","","A"&amp;TEXT(ROW()-1,"000"))</f>
        <v/>
      </c>
      <c r="I314" s="19" t="n"/>
      <c r="N314" s="18">
        <f>IF(A314="","",SUMIFS(Ventas!$F:$F,Ventas!$C:$C,A314))</f>
        <v/>
      </c>
      <c r="O314" s="18">
        <f>IF(A314="","",SUMIFS(Clases!$I:$I,Clases!$C:$C,A314,Clases!$J:$J,"&lt;&gt;Reprogramada"))</f>
        <v/>
      </c>
      <c r="P314" s="18">
        <f>IF(A314="","",N314-O314)</f>
        <v/>
      </c>
      <c r="Q314" s="20">
        <f>IF(A314="","",SUMIFS(Ventas!$I:$I,Ventas!$C:$C,A314))</f>
        <v/>
      </c>
      <c r="R314" s="20">
        <f>IF(A314="","",SUMIFS(Pagos!$E:$E,Pagos!$C:$C,A314))</f>
        <v/>
      </c>
      <c r="S314" s="20">
        <f>IF(A314="","",Q314-R314)</f>
        <v/>
      </c>
    </row>
    <row r="315">
      <c r="A315" s="18">
        <f>IF(B315="","","A"&amp;TEXT(ROW()-1,"000"))</f>
        <v/>
      </c>
      <c r="I315" s="19" t="n"/>
      <c r="N315" s="18">
        <f>IF(A315="","",SUMIFS(Ventas!$F:$F,Ventas!$C:$C,A315))</f>
        <v/>
      </c>
      <c r="O315" s="18">
        <f>IF(A315="","",SUMIFS(Clases!$I:$I,Clases!$C:$C,A315,Clases!$J:$J,"&lt;&gt;Reprogramada"))</f>
        <v/>
      </c>
      <c r="P315" s="18">
        <f>IF(A315="","",N315-O315)</f>
        <v/>
      </c>
      <c r="Q315" s="20">
        <f>IF(A315="","",SUMIFS(Ventas!$I:$I,Ventas!$C:$C,A315))</f>
        <v/>
      </c>
      <c r="R315" s="20">
        <f>IF(A315="","",SUMIFS(Pagos!$E:$E,Pagos!$C:$C,A315))</f>
        <v/>
      </c>
      <c r="S315" s="20">
        <f>IF(A315="","",Q315-R315)</f>
        <v/>
      </c>
    </row>
    <row r="316">
      <c r="A316" s="18">
        <f>IF(B316="","","A"&amp;TEXT(ROW()-1,"000"))</f>
        <v/>
      </c>
      <c r="I316" s="19" t="n"/>
      <c r="N316" s="18">
        <f>IF(A316="","",SUMIFS(Ventas!$F:$F,Ventas!$C:$C,A316))</f>
        <v/>
      </c>
      <c r="O316" s="18">
        <f>IF(A316="","",SUMIFS(Clases!$I:$I,Clases!$C:$C,A316,Clases!$J:$J,"&lt;&gt;Reprogramada"))</f>
        <v/>
      </c>
      <c r="P316" s="18">
        <f>IF(A316="","",N316-O316)</f>
        <v/>
      </c>
      <c r="Q316" s="20">
        <f>IF(A316="","",SUMIFS(Ventas!$I:$I,Ventas!$C:$C,A316))</f>
        <v/>
      </c>
      <c r="R316" s="20">
        <f>IF(A316="","",SUMIFS(Pagos!$E:$E,Pagos!$C:$C,A316))</f>
        <v/>
      </c>
      <c r="S316" s="20">
        <f>IF(A316="","",Q316-R316)</f>
        <v/>
      </c>
    </row>
    <row r="317">
      <c r="A317" s="18">
        <f>IF(B317="","","A"&amp;TEXT(ROW()-1,"000"))</f>
        <v/>
      </c>
      <c r="I317" s="19" t="n"/>
      <c r="N317" s="18">
        <f>IF(A317="","",SUMIFS(Ventas!$F:$F,Ventas!$C:$C,A317))</f>
        <v/>
      </c>
      <c r="O317" s="18">
        <f>IF(A317="","",SUMIFS(Clases!$I:$I,Clases!$C:$C,A317,Clases!$J:$J,"&lt;&gt;Reprogramada"))</f>
        <v/>
      </c>
      <c r="P317" s="18">
        <f>IF(A317="","",N317-O317)</f>
        <v/>
      </c>
      <c r="Q317" s="20">
        <f>IF(A317="","",SUMIFS(Ventas!$I:$I,Ventas!$C:$C,A317))</f>
        <v/>
      </c>
      <c r="R317" s="20">
        <f>IF(A317="","",SUMIFS(Pagos!$E:$E,Pagos!$C:$C,A317))</f>
        <v/>
      </c>
      <c r="S317" s="20">
        <f>IF(A317="","",Q317-R317)</f>
        <v/>
      </c>
    </row>
    <row r="318">
      <c r="A318" s="18">
        <f>IF(B318="","","A"&amp;TEXT(ROW()-1,"000"))</f>
        <v/>
      </c>
      <c r="I318" s="19" t="n"/>
      <c r="N318" s="18">
        <f>IF(A318="","",SUMIFS(Ventas!$F:$F,Ventas!$C:$C,A318))</f>
        <v/>
      </c>
      <c r="O318" s="18">
        <f>IF(A318="","",SUMIFS(Clases!$I:$I,Clases!$C:$C,A318,Clases!$J:$J,"&lt;&gt;Reprogramada"))</f>
        <v/>
      </c>
      <c r="P318" s="18">
        <f>IF(A318="","",N318-O318)</f>
        <v/>
      </c>
      <c r="Q318" s="20">
        <f>IF(A318="","",SUMIFS(Ventas!$I:$I,Ventas!$C:$C,A318))</f>
        <v/>
      </c>
      <c r="R318" s="20">
        <f>IF(A318="","",SUMIFS(Pagos!$E:$E,Pagos!$C:$C,A318))</f>
        <v/>
      </c>
      <c r="S318" s="20">
        <f>IF(A318="","",Q318-R318)</f>
        <v/>
      </c>
    </row>
    <row r="319">
      <c r="A319" s="18">
        <f>IF(B319="","","A"&amp;TEXT(ROW()-1,"000"))</f>
        <v/>
      </c>
      <c r="I319" s="19" t="n"/>
      <c r="N319" s="18">
        <f>IF(A319="","",SUMIFS(Ventas!$F:$F,Ventas!$C:$C,A319))</f>
        <v/>
      </c>
      <c r="O319" s="18">
        <f>IF(A319="","",SUMIFS(Clases!$I:$I,Clases!$C:$C,A319,Clases!$J:$J,"&lt;&gt;Reprogramada"))</f>
        <v/>
      </c>
      <c r="P319" s="18">
        <f>IF(A319="","",N319-O319)</f>
        <v/>
      </c>
      <c r="Q319" s="20">
        <f>IF(A319="","",SUMIFS(Ventas!$I:$I,Ventas!$C:$C,A319))</f>
        <v/>
      </c>
      <c r="R319" s="20">
        <f>IF(A319="","",SUMIFS(Pagos!$E:$E,Pagos!$C:$C,A319))</f>
        <v/>
      </c>
      <c r="S319" s="20">
        <f>IF(A319="","",Q319-R319)</f>
        <v/>
      </c>
    </row>
    <row r="320">
      <c r="A320" s="18">
        <f>IF(B320="","","A"&amp;TEXT(ROW()-1,"000"))</f>
        <v/>
      </c>
      <c r="I320" s="19" t="n"/>
      <c r="N320" s="18">
        <f>IF(A320="","",SUMIFS(Ventas!$F:$F,Ventas!$C:$C,A320))</f>
        <v/>
      </c>
      <c r="O320" s="18">
        <f>IF(A320="","",SUMIFS(Clases!$I:$I,Clases!$C:$C,A320,Clases!$J:$J,"&lt;&gt;Reprogramada"))</f>
        <v/>
      </c>
      <c r="P320" s="18">
        <f>IF(A320="","",N320-O320)</f>
        <v/>
      </c>
      <c r="Q320" s="20">
        <f>IF(A320="","",SUMIFS(Ventas!$I:$I,Ventas!$C:$C,A320))</f>
        <v/>
      </c>
      <c r="R320" s="20">
        <f>IF(A320="","",SUMIFS(Pagos!$E:$E,Pagos!$C:$C,A320))</f>
        <v/>
      </c>
      <c r="S320" s="20">
        <f>IF(A320="","",Q320-R320)</f>
        <v/>
      </c>
    </row>
    <row r="321">
      <c r="A321" s="18">
        <f>IF(B321="","","A"&amp;TEXT(ROW()-1,"000"))</f>
        <v/>
      </c>
      <c r="I321" s="19" t="n"/>
      <c r="N321" s="18">
        <f>IF(A321="","",SUMIFS(Ventas!$F:$F,Ventas!$C:$C,A321))</f>
        <v/>
      </c>
      <c r="O321" s="18">
        <f>IF(A321="","",SUMIFS(Clases!$I:$I,Clases!$C:$C,A321,Clases!$J:$J,"&lt;&gt;Reprogramada"))</f>
        <v/>
      </c>
      <c r="P321" s="18">
        <f>IF(A321="","",N321-O321)</f>
        <v/>
      </c>
      <c r="Q321" s="20">
        <f>IF(A321="","",SUMIFS(Ventas!$I:$I,Ventas!$C:$C,A321))</f>
        <v/>
      </c>
      <c r="R321" s="20">
        <f>IF(A321="","",SUMIFS(Pagos!$E:$E,Pagos!$C:$C,A321))</f>
        <v/>
      </c>
      <c r="S321" s="20">
        <f>IF(A321="","",Q321-R321)</f>
        <v/>
      </c>
    </row>
    <row r="322">
      <c r="A322" s="18">
        <f>IF(B322="","","A"&amp;TEXT(ROW()-1,"000"))</f>
        <v/>
      </c>
      <c r="I322" s="19" t="n"/>
      <c r="N322" s="18">
        <f>IF(A322="","",SUMIFS(Ventas!$F:$F,Ventas!$C:$C,A322))</f>
        <v/>
      </c>
      <c r="O322" s="18">
        <f>IF(A322="","",SUMIFS(Clases!$I:$I,Clases!$C:$C,A322,Clases!$J:$J,"&lt;&gt;Reprogramada"))</f>
        <v/>
      </c>
      <c r="P322" s="18">
        <f>IF(A322="","",N322-O322)</f>
        <v/>
      </c>
      <c r="Q322" s="20">
        <f>IF(A322="","",SUMIFS(Ventas!$I:$I,Ventas!$C:$C,A322))</f>
        <v/>
      </c>
      <c r="R322" s="20">
        <f>IF(A322="","",SUMIFS(Pagos!$E:$E,Pagos!$C:$C,A322))</f>
        <v/>
      </c>
      <c r="S322" s="20">
        <f>IF(A322="","",Q322-R322)</f>
        <v/>
      </c>
    </row>
    <row r="323">
      <c r="A323" s="18">
        <f>IF(B323="","","A"&amp;TEXT(ROW()-1,"000"))</f>
        <v/>
      </c>
      <c r="I323" s="19" t="n"/>
      <c r="N323" s="18">
        <f>IF(A323="","",SUMIFS(Ventas!$F:$F,Ventas!$C:$C,A323))</f>
        <v/>
      </c>
      <c r="O323" s="18">
        <f>IF(A323="","",SUMIFS(Clases!$I:$I,Clases!$C:$C,A323,Clases!$J:$J,"&lt;&gt;Reprogramada"))</f>
        <v/>
      </c>
      <c r="P323" s="18">
        <f>IF(A323="","",N323-O323)</f>
        <v/>
      </c>
      <c r="Q323" s="20">
        <f>IF(A323="","",SUMIFS(Ventas!$I:$I,Ventas!$C:$C,A323))</f>
        <v/>
      </c>
      <c r="R323" s="20">
        <f>IF(A323="","",SUMIFS(Pagos!$E:$E,Pagos!$C:$C,A323))</f>
        <v/>
      </c>
      <c r="S323" s="20">
        <f>IF(A323="","",Q323-R323)</f>
        <v/>
      </c>
    </row>
    <row r="324">
      <c r="A324" s="18">
        <f>IF(B324="","","A"&amp;TEXT(ROW()-1,"000"))</f>
        <v/>
      </c>
      <c r="I324" s="19" t="n"/>
      <c r="N324" s="18">
        <f>IF(A324="","",SUMIFS(Ventas!$F:$F,Ventas!$C:$C,A324))</f>
        <v/>
      </c>
      <c r="O324" s="18">
        <f>IF(A324="","",SUMIFS(Clases!$I:$I,Clases!$C:$C,A324,Clases!$J:$J,"&lt;&gt;Reprogramada"))</f>
        <v/>
      </c>
      <c r="P324" s="18">
        <f>IF(A324="","",N324-O324)</f>
        <v/>
      </c>
      <c r="Q324" s="20">
        <f>IF(A324="","",SUMIFS(Ventas!$I:$I,Ventas!$C:$C,A324))</f>
        <v/>
      </c>
      <c r="R324" s="20">
        <f>IF(A324="","",SUMIFS(Pagos!$E:$E,Pagos!$C:$C,A324))</f>
        <v/>
      </c>
      <c r="S324" s="20">
        <f>IF(A324="","",Q324-R324)</f>
        <v/>
      </c>
    </row>
    <row r="325">
      <c r="A325" s="18">
        <f>IF(B325="","","A"&amp;TEXT(ROW()-1,"000"))</f>
        <v/>
      </c>
      <c r="I325" s="19" t="n"/>
      <c r="N325" s="18">
        <f>IF(A325="","",SUMIFS(Ventas!$F:$F,Ventas!$C:$C,A325))</f>
        <v/>
      </c>
      <c r="O325" s="18">
        <f>IF(A325="","",SUMIFS(Clases!$I:$I,Clases!$C:$C,A325,Clases!$J:$J,"&lt;&gt;Reprogramada"))</f>
        <v/>
      </c>
      <c r="P325" s="18">
        <f>IF(A325="","",N325-O325)</f>
        <v/>
      </c>
      <c r="Q325" s="20">
        <f>IF(A325="","",SUMIFS(Ventas!$I:$I,Ventas!$C:$C,A325))</f>
        <v/>
      </c>
      <c r="R325" s="20">
        <f>IF(A325="","",SUMIFS(Pagos!$E:$E,Pagos!$C:$C,A325))</f>
        <v/>
      </c>
      <c r="S325" s="20">
        <f>IF(A325="","",Q325-R325)</f>
        <v/>
      </c>
    </row>
    <row r="326">
      <c r="A326" s="18">
        <f>IF(B326="","","A"&amp;TEXT(ROW()-1,"000"))</f>
        <v/>
      </c>
      <c r="I326" s="19" t="n"/>
      <c r="N326" s="18">
        <f>IF(A326="","",SUMIFS(Ventas!$F:$F,Ventas!$C:$C,A326))</f>
        <v/>
      </c>
      <c r="O326" s="18">
        <f>IF(A326="","",SUMIFS(Clases!$I:$I,Clases!$C:$C,A326,Clases!$J:$J,"&lt;&gt;Reprogramada"))</f>
        <v/>
      </c>
      <c r="P326" s="18">
        <f>IF(A326="","",N326-O326)</f>
        <v/>
      </c>
      <c r="Q326" s="20">
        <f>IF(A326="","",SUMIFS(Ventas!$I:$I,Ventas!$C:$C,A326))</f>
        <v/>
      </c>
      <c r="R326" s="20">
        <f>IF(A326="","",SUMIFS(Pagos!$E:$E,Pagos!$C:$C,A326))</f>
        <v/>
      </c>
      <c r="S326" s="20">
        <f>IF(A326="","",Q326-R326)</f>
        <v/>
      </c>
    </row>
    <row r="327">
      <c r="A327" s="18">
        <f>IF(B327="","","A"&amp;TEXT(ROW()-1,"000"))</f>
        <v/>
      </c>
      <c r="I327" s="19" t="n"/>
      <c r="N327" s="18">
        <f>IF(A327="","",SUMIFS(Ventas!$F:$F,Ventas!$C:$C,A327))</f>
        <v/>
      </c>
      <c r="O327" s="18">
        <f>IF(A327="","",SUMIFS(Clases!$I:$I,Clases!$C:$C,A327,Clases!$J:$J,"&lt;&gt;Reprogramada"))</f>
        <v/>
      </c>
      <c r="P327" s="18">
        <f>IF(A327="","",N327-O327)</f>
        <v/>
      </c>
      <c r="Q327" s="20">
        <f>IF(A327="","",SUMIFS(Ventas!$I:$I,Ventas!$C:$C,A327))</f>
        <v/>
      </c>
      <c r="R327" s="20">
        <f>IF(A327="","",SUMIFS(Pagos!$E:$E,Pagos!$C:$C,A327))</f>
        <v/>
      </c>
      <c r="S327" s="20">
        <f>IF(A327="","",Q327-R327)</f>
        <v/>
      </c>
    </row>
    <row r="328">
      <c r="A328" s="18">
        <f>IF(B328="","","A"&amp;TEXT(ROW()-1,"000"))</f>
        <v/>
      </c>
      <c r="I328" s="19" t="n"/>
      <c r="N328" s="18">
        <f>IF(A328="","",SUMIFS(Ventas!$F:$F,Ventas!$C:$C,A328))</f>
        <v/>
      </c>
      <c r="O328" s="18">
        <f>IF(A328="","",SUMIFS(Clases!$I:$I,Clases!$C:$C,A328,Clases!$J:$J,"&lt;&gt;Reprogramada"))</f>
        <v/>
      </c>
      <c r="P328" s="18">
        <f>IF(A328="","",N328-O328)</f>
        <v/>
      </c>
      <c r="Q328" s="20">
        <f>IF(A328="","",SUMIFS(Ventas!$I:$I,Ventas!$C:$C,A328))</f>
        <v/>
      </c>
      <c r="R328" s="20">
        <f>IF(A328="","",SUMIFS(Pagos!$E:$E,Pagos!$C:$C,A328))</f>
        <v/>
      </c>
      <c r="S328" s="20">
        <f>IF(A328="","",Q328-R328)</f>
        <v/>
      </c>
    </row>
    <row r="329">
      <c r="A329" s="18">
        <f>IF(B329="","","A"&amp;TEXT(ROW()-1,"000"))</f>
        <v/>
      </c>
      <c r="I329" s="19" t="n"/>
      <c r="N329" s="18">
        <f>IF(A329="","",SUMIFS(Ventas!$F:$F,Ventas!$C:$C,A329))</f>
        <v/>
      </c>
      <c r="O329" s="18">
        <f>IF(A329="","",SUMIFS(Clases!$I:$I,Clases!$C:$C,A329,Clases!$J:$J,"&lt;&gt;Reprogramada"))</f>
        <v/>
      </c>
      <c r="P329" s="18">
        <f>IF(A329="","",N329-O329)</f>
        <v/>
      </c>
      <c r="Q329" s="20">
        <f>IF(A329="","",SUMIFS(Ventas!$I:$I,Ventas!$C:$C,A329))</f>
        <v/>
      </c>
      <c r="R329" s="20">
        <f>IF(A329="","",SUMIFS(Pagos!$E:$E,Pagos!$C:$C,A329))</f>
        <v/>
      </c>
      <c r="S329" s="20">
        <f>IF(A329="","",Q329-R329)</f>
        <v/>
      </c>
    </row>
    <row r="330">
      <c r="A330" s="18">
        <f>IF(B330="","","A"&amp;TEXT(ROW()-1,"000"))</f>
        <v/>
      </c>
      <c r="I330" s="19" t="n"/>
      <c r="N330" s="18">
        <f>IF(A330="","",SUMIFS(Ventas!$F:$F,Ventas!$C:$C,A330))</f>
        <v/>
      </c>
      <c r="O330" s="18">
        <f>IF(A330="","",SUMIFS(Clases!$I:$I,Clases!$C:$C,A330,Clases!$J:$J,"&lt;&gt;Reprogramada"))</f>
        <v/>
      </c>
      <c r="P330" s="18">
        <f>IF(A330="","",N330-O330)</f>
        <v/>
      </c>
      <c r="Q330" s="20">
        <f>IF(A330="","",SUMIFS(Ventas!$I:$I,Ventas!$C:$C,A330))</f>
        <v/>
      </c>
      <c r="R330" s="20">
        <f>IF(A330="","",SUMIFS(Pagos!$E:$E,Pagos!$C:$C,A330))</f>
        <v/>
      </c>
      <c r="S330" s="20">
        <f>IF(A330="","",Q330-R330)</f>
        <v/>
      </c>
    </row>
    <row r="331">
      <c r="A331" s="18">
        <f>IF(B331="","","A"&amp;TEXT(ROW()-1,"000"))</f>
        <v/>
      </c>
      <c r="I331" s="19" t="n"/>
      <c r="N331" s="18">
        <f>IF(A331="","",SUMIFS(Ventas!$F:$F,Ventas!$C:$C,A331))</f>
        <v/>
      </c>
      <c r="O331" s="18">
        <f>IF(A331="","",SUMIFS(Clases!$I:$I,Clases!$C:$C,A331,Clases!$J:$J,"&lt;&gt;Reprogramada"))</f>
        <v/>
      </c>
      <c r="P331" s="18">
        <f>IF(A331="","",N331-O331)</f>
        <v/>
      </c>
      <c r="Q331" s="20">
        <f>IF(A331="","",SUMIFS(Ventas!$I:$I,Ventas!$C:$C,A331))</f>
        <v/>
      </c>
      <c r="R331" s="20">
        <f>IF(A331="","",SUMIFS(Pagos!$E:$E,Pagos!$C:$C,A331))</f>
        <v/>
      </c>
      <c r="S331" s="20">
        <f>IF(A331="","",Q331-R331)</f>
        <v/>
      </c>
    </row>
    <row r="332">
      <c r="A332" s="18">
        <f>IF(B332="","","A"&amp;TEXT(ROW()-1,"000"))</f>
        <v/>
      </c>
      <c r="I332" s="19" t="n"/>
      <c r="N332" s="18">
        <f>IF(A332="","",SUMIFS(Ventas!$F:$F,Ventas!$C:$C,A332))</f>
        <v/>
      </c>
      <c r="O332" s="18">
        <f>IF(A332="","",SUMIFS(Clases!$I:$I,Clases!$C:$C,A332,Clases!$J:$J,"&lt;&gt;Reprogramada"))</f>
        <v/>
      </c>
      <c r="P332" s="18">
        <f>IF(A332="","",N332-O332)</f>
        <v/>
      </c>
      <c r="Q332" s="20">
        <f>IF(A332="","",SUMIFS(Ventas!$I:$I,Ventas!$C:$C,A332))</f>
        <v/>
      </c>
      <c r="R332" s="20">
        <f>IF(A332="","",SUMIFS(Pagos!$E:$E,Pagos!$C:$C,A332))</f>
        <v/>
      </c>
      <c r="S332" s="20">
        <f>IF(A332="","",Q332-R332)</f>
        <v/>
      </c>
    </row>
    <row r="333">
      <c r="A333" s="18">
        <f>IF(B333="","","A"&amp;TEXT(ROW()-1,"000"))</f>
        <v/>
      </c>
      <c r="I333" s="19" t="n"/>
      <c r="N333" s="18">
        <f>IF(A333="","",SUMIFS(Ventas!$F:$F,Ventas!$C:$C,A333))</f>
        <v/>
      </c>
      <c r="O333" s="18">
        <f>IF(A333="","",SUMIFS(Clases!$I:$I,Clases!$C:$C,A333,Clases!$J:$J,"&lt;&gt;Reprogramada"))</f>
        <v/>
      </c>
      <c r="P333" s="18">
        <f>IF(A333="","",N333-O333)</f>
        <v/>
      </c>
      <c r="Q333" s="20">
        <f>IF(A333="","",SUMIFS(Ventas!$I:$I,Ventas!$C:$C,A333))</f>
        <v/>
      </c>
      <c r="R333" s="20">
        <f>IF(A333="","",SUMIFS(Pagos!$E:$E,Pagos!$C:$C,A333))</f>
        <v/>
      </c>
      <c r="S333" s="20">
        <f>IF(A333="","",Q333-R333)</f>
        <v/>
      </c>
    </row>
    <row r="334">
      <c r="A334" s="18">
        <f>IF(B334="","","A"&amp;TEXT(ROW()-1,"000"))</f>
        <v/>
      </c>
      <c r="I334" s="19" t="n"/>
      <c r="N334" s="18">
        <f>IF(A334="","",SUMIFS(Ventas!$F:$F,Ventas!$C:$C,A334))</f>
        <v/>
      </c>
      <c r="O334" s="18">
        <f>IF(A334="","",SUMIFS(Clases!$I:$I,Clases!$C:$C,A334,Clases!$J:$J,"&lt;&gt;Reprogramada"))</f>
        <v/>
      </c>
      <c r="P334" s="18">
        <f>IF(A334="","",N334-O334)</f>
        <v/>
      </c>
      <c r="Q334" s="20">
        <f>IF(A334="","",SUMIFS(Ventas!$I:$I,Ventas!$C:$C,A334))</f>
        <v/>
      </c>
      <c r="R334" s="20">
        <f>IF(A334="","",SUMIFS(Pagos!$E:$E,Pagos!$C:$C,A334))</f>
        <v/>
      </c>
      <c r="S334" s="20">
        <f>IF(A334="","",Q334-R334)</f>
        <v/>
      </c>
    </row>
    <row r="335">
      <c r="A335" s="18">
        <f>IF(B335="","","A"&amp;TEXT(ROW()-1,"000"))</f>
        <v/>
      </c>
      <c r="I335" s="19" t="n"/>
      <c r="N335" s="18">
        <f>IF(A335="","",SUMIFS(Ventas!$F:$F,Ventas!$C:$C,A335))</f>
        <v/>
      </c>
      <c r="O335" s="18">
        <f>IF(A335="","",SUMIFS(Clases!$I:$I,Clases!$C:$C,A335,Clases!$J:$J,"&lt;&gt;Reprogramada"))</f>
        <v/>
      </c>
      <c r="P335" s="18">
        <f>IF(A335="","",N335-O335)</f>
        <v/>
      </c>
      <c r="Q335" s="20">
        <f>IF(A335="","",SUMIFS(Ventas!$I:$I,Ventas!$C:$C,A335))</f>
        <v/>
      </c>
      <c r="R335" s="20">
        <f>IF(A335="","",SUMIFS(Pagos!$E:$E,Pagos!$C:$C,A335))</f>
        <v/>
      </c>
      <c r="S335" s="20">
        <f>IF(A335="","",Q335-R335)</f>
        <v/>
      </c>
    </row>
    <row r="336">
      <c r="A336" s="18">
        <f>IF(B336="","","A"&amp;TEXT(ROW()-1,"000"))</f>
        <v/>
      </c>
      <c r="I336" s="19" t="n"/>
      <c r="N336" s="18">
        <f>IF(A336="","",SUMIFS(Ventas!$F:$F,Ventas!$C:$C,A336))</f>
        <v/>
      </c>
      <c r="O336" s="18">
        <f>IF(A336="","",SUMIFS(Clases!$I:$I,Clases!$C:$C,A336,Clases!$J:$J,"&lt;&gt;Reprogramada"))</f>
        <v/>
      </c>
      <c r="P336" s="18">
        <f>IF(A336="","",N336-O336)</f>
        <v/>
      </c>
      <c r="Q336" s="20">
        <f>IF(A336="","",SUMIFS(Ventas!$I:$I,Ventas!$C:$C,A336))</f>
        <v/>
      </c>
      <c r="R336" s="20">
        <f>IF(A336="","",SUMIFS(Pagos!$E:$E,Pagos!$C:$C,A336))</f>
        <v/>
      </c>
      <c r="S336" s="20">
        <f>IF(A336="","",Q336-R336)</f>
        <v/>
      </c>
    </row>
    <row r="337">
      <c r="A337" s="18">
        <f>IF(B337="","","A"&amp;TEXT(ROW()-1,"000"))</f>
        <v/>
      </c>
      <c r="I337" s="19" t="n"/>
      <c r="N337" s="18">
        <f>IF(A337="","",SUMIFS(Ventas!$F:$F,Ventas!$C:$C,A337))</f>
        <v/>
      </c>
      <c r="O337" s="18">
        <f>IF(A337="","",SUMIFS(Clases!$I:$I,Clases!$C:$C,A337,Clases!$J:$J,"&lt;&gt;Reprogramada"))</f>
        <v/>
      </c>
      <c r="P337" s="18">
        <f>IF(A337="","",N337-O337)</f>
        <v/>
      </c>
      <c r="Q337" s="20">
        <f>IF(A337="","",SUMIFS(Ventas!$I:$I,Ventas!$C:$C,A337))</f>
        <v/>
      </c>
      <c r="R337" s="20">
        <f>IF(A337="","",SUMIFS(Pagos!$E:$E,Pagos!$C:$C,A337))</f>
        <v/>
      </c>
      <c r="S337" s="20">
        <f>IF(A337="","",Q337-R337)</f>
        <v/>
      </c>
    </row>
    <row r="338">
      <c r="A338" s="18">
        <f>IF(B338="","","A"&amp;TEXT(ROW()-1,"000"))</f>
        <v/>
      </c>
      <c r="I338" s="19" t="n"/>
      <c r="N338" s="18">
        <f>IF(A338="","",SUMIFS(Ventas!$F:$F,Ventas!$C:$C,A338))</f>
        <v/>
      </c>
      <c r="O338" s="18">
        <f>IF(A338="","",SUMIFS(Clases!$I:$I,Clases!$C:$C,A338,Clases!$J:$J,"&lt;&gt;Reprogramada"))</f>
        <v/>
      </c>
      <c r="P338" s="18">
        <f>IF(A338="","",N338-O338)</f>
        <v/>
      </c>
      <c r="Q338" s="20">
        <f>IF(A338="","",SUMIFS(Ventas!$I:$I,Ventas!$C:$C,A338))</f>
        <v/>
      </c>
      <c r="R338" s="20">
        <f>IF(A338="","",SUMIFS(Pagos!$E:$E,Pagos!$C:$C,A338))</f>
        <v/>
      </c>
      <c r="S338" s="20">
        <f>IF(A338="","",Q338-R338)</f>
        <v/>
      </c>
    </row>
    <row r="339">
      <c r="A339" s="18">
        <f>IF(B339="","","A"&amp;TEXT(ROW()-1,"000"))</f>
        <v/>
      </c>
      <c r="I339" s="19" t="n"/>
      <c r="N339" s="18">
        <f>IF(A339="","",SUMIFS(Ventas!$F:$F,Ventas!$C:$C,A339))</f>
        <v/>
      </c>
      <c r="O339" s="18">
        <f>IF(A339="","",SUMIFS(Clases!$I:$I,Clases!$C:$C,A339,Clases!$J:$J,"&lt;&gt;Reprogramada"))</f>
        <v/>
      </c>
      <c r="P339" s="18">
        <f>IF(A339="","",N339-O339)</f>
        <v/>
      </c>
      <c r="Q339" s="20">
        <f>IF(A339="","",SUMIFS(Ventas!$I:$I,Ventas!$C:$C,A339))</f>
        <v/>
      </c>
      <c r="R339" s="20">
        <f>IF(A339="","",SUMIFS(Pagos!$E:$E,Pagos!$C:$C,A339))</f>
        <v/>
      </c>
      <c r="S339" s="20">
        <f>IF(A339="","",Q339-R339)</f>
        <v/>
      </c>
    </row>
    <row r="340">
      <c r="A340" s="18">
        <f>IF(B340="","","A"&amp;TEXT(ROW()-1,"000"))</f>
        <v/>
      </c>
      <c r="I340" s="19" t="n"/>
      <c r="N340" s="18">
        <f>IF(A340="","",SUMIFS(Ventas!$F:$F,Ventas!$C:$C,A340))</f>
        <v/>
      </c>
      <c r="O340" s="18">
        <f>IF(A340="","",SUMIFS(Clases!$I:$I,Clases!$C:$C,A340,Clases!$J:$J,"&lt;&gt;Reprogramada"))</f>
        <v/>
      </c>
      <c r="P340" s="18">
        <f>IF(A340="","",N340-O340)</f>
        <v/>
      </c>
      <c r="Q340" s="20">
        <f>IF(A340="","",SUMIFS(Ventas!$I:$I,Ventas!$C:$C,A340))</f>
        <v/>
      </c>
      <c r="R340" s="20">
        <f>IF(A340="","",SUMIFS(Pagos!$E:$E,Pagos!$C:$C,A340))</f>
        <v/>
      </c>
      <c r="S340" s="20">
        <f>IF(A340="","",Q340-R340)</f>
        <v/>
      </c>
    </row>
    <row r="341">
      <c r="A341" s="18">
        <f>IF(B341="","","A"&amp;TEXT(ROW()-1,"000"))</f>
        <v/>
      </c>
      <c r="I341" s="19" t="n"/>
      <c r="N341" s="18">
        <f>IF(A341="","",SUMIFS(Ventas!$F:$F,Ventas!$C:$C,A341))</f>
        <v/>
      </c>
      <c r="O341" s="18">
        <f>IF(A341="","",SUMIFS(Clases!$I:$I,Clases!$C:$C,A341,Clases!$J:$J,"&lt;&gt;Reprogramada"))</f>
        <v/>
      </c>
      <c r="P341" s="18">
        <f>IF(A341="","",N341-O341)</f>
        <v/>
      </c>
      <c r="Q341" s="20">
        <f>IF(A341="","",SUMIFS(Ventas!$I:$I,Ventas!$C:$C,A341))</f>
        <v/>
      </c>
      <c r="R341" s="20">
        <f>IF(A341="","",SUMIFS(Pagos!$E:$E,Pagos!$C:$C,A341))</f>
        <v/>
      </c>
      <c r="S341" s="20">
        <f>IF(A341="","",Q341-R341)</f>
        <v/>
      </c>
    </row>
    <row r="342">
      <c r="A342" s="18">
        <f>IF(B342="","","A"&amp;TEXT(ROW()-1,"000"))</f>
        <v/>
      </c>
      <c r="I342" s="19" t="n"/>
      <c r="N342" s="18">
        <f>IF(A342="","",SUMIFS(Ventas!$F:$F,Ventas!$C:$C,A342))</f>
        <v/>
      </c>
      <c r="O342" s="18">
        <f>IF(A342="","",SUMIFS(Clases!$I:$I,Clases!$C:$C,A342,Clases!$J:$J,"&lt;&gt;Reprogramada"))</f>
        <v/>
      </c>
      <c r="P342" s="18">
        <f>IF(A342="","",N342-O342)</f>
        <v/>
      </c>
      <c r="Q342" s="20">
        <f>IF(A342="","",SUMIFS(Ventas!$I:$I,Ventas!$C:$C,A342))</f>
        <v/>
      </c>
      <c r="R342" s="20">
        <f>IF(A342="","",SUMIFS(Pagos!$E:$E,Pagos!$C:$C,A342))</f>
        <v/>
      </c>
      <c r="S342" s="20">
        <f>IF(A342="","",Q342-R342)</f>
        <v/>
      </c>
    </row>
    <row r="343">
      <c r="A343" s="18">
        <f>IF(B343="","","A"&amp;TEXT(ROW()-1,"000"))</f>
        <v/>
      </c>
      <c r="I343" s="19" t="n"/>
      <c r="N343" s="18">
        <f>IF(A343="","",SUMIFS(Ventas!$F:$F,Ventas!$C:$C,A343))</f>
        <v/>
      </c>
      <c r="O343" s="18">
        <f>IF(A343="","",SUMIFS(Clases!$I:$I,Clases!$C:$C,A343,Clases!$J:$J,"&lt;&gt;Reprogramada"))</f>
        <v/>
      </c>
      <c r="P343" s="18">
        <f>IF(A343="","",N343-O343)</f>
        <v/>
      </c>
      <c r="Q343" s="20">
        <f>IF(A343="","",SUMIFS(Ventas!$I:$I,Ventas!$C:$C,A343))</f>
        <v/>
      </c>
      <c r="R343" s="20">
        <f>IF(A343="","",SUMIFS(Pagos!$E:$E,Pagos!$C:$C,A343))</f>
        <v/>
      </c>
      <c r="S343" s="20">
        <f>IF(A343="","",Q343-R343)</f>
        <v/>
      </c>
    </row>
    <row r="344">
      <c r="A344" s="18">
        <f>IF(B344="","","A"&amp;TEXT(ROW()-1,"000"))</f>
        <v/>
      </c>
      <c r="I344" s="19" t="n"/>
      <c r="N344" s="18">
        <f>IF(A344="","",SUMIFS(Ventas!$F:$F,Ventas!$C:$C,A344))</f>
        <v/>
      </c>
      <c r="O344" s="18">
        <f>IF(A344="","",SUMIFS(Clases!$I:$I,Clases!$C:$C,A344,Clases!$J:$J,"&lt;&gt;Reprogramada"))</f>
        <v/>
      </c>
      <c r="P344" s="18">
        <f>IF(A344="","",N344-O344)</f>
        <v/>
      </c>
      <c r="Q344" s="20">
        <f>IF(A344="","",SUMIFS(Ventas!$I:$I,Ventas!$C:$C,A344))</f>
        <v/>
      </c>
      <c r="R344" s="20">
        <f>IF(A344="","",SUMIFS(Pagos!$E:$E,Pagos!$C:$C,A344))</f>
        <v/>
      </c>
      <c r="S344" s="20">
        <f>IF(A344="","",Q344-R344)</f>
        <v/>
      </c>
    </row>
    <row r="345">
      <c r="A345" s="18">
        <f>IF(B345="","","A"&amp;TEXT(ROW()-1,"000"))</f>
        <v/>
      </c>
      <c r="I345" s="19" t="n"/>
      <c r="N345" s="18">
        <f>IF(A345="","",SUMIFS(Ventas!$F:$F,Ventas!$C:$C,A345))</f>
        <v/>
      </c>
      <c r="O345" s="18">
        <f>IF(A345="","",SUMIFS(Clases!$I:$I,Clases!$C:$C,A345,Clases!$J:$J,"&lt;&gt;Reprogramada"))</f>
        <v/>
      </c>
      <c r="P345" s="18">
        <f>IF(A345="","",N345-O345)</f>
        <v/>
      </c>
      <c r="Q345" s="20">
        <f>IF(A345="","",SUMIFS(Ventas!$I:$I,Ventas!$C:$C,A345))</f>
        <v/>
      </c>
      <c r="R345" s="20">
        <f>IF(A345="","",SUMIFS(Pagos!$E:$E,Pagos!$C:$C,A345))</f>
        <v/>
      </c>
      <c r="S345" s="20">
        <f>IF(A345="","",Q345-R345)</f>
        <v/>
      </c>
    </row>
    <row r="346">
      <c r="A346" s="18">
        <f>IF(B346="","","A"&amp;TEXT(ROW()-1,"000"))</f>
        <v/>
      </c>
      <c r="I346" s="19" t="n"/>
      <c r="N346" s="18">
        <f>IF(A346="","",SUMIFS(Ventas!$F:$F,Ventas!$C:$C,A346))</f>
        <v/>
      </c>
      <c r="O346" s="18">
        <f>IF(A346="","",SUMIFS(Clases!$I:$I,Clases!$C:$C,A346,Clases!$J:$J,"&lt;&gt;Reprogramada"))</f>
        <v/>
      </c>
      <c r="P346" s="18">
        <f>IF(A346="","",N346-O346)</f>
        <v/>
      </c>
      <c r="Q346" s="20">
        <f>IF(A346="","",SUMIFS(Ventas!$I:$I,Ventas!$C:$C,A346))</f>
        <v/>
      </c>
      <c r="R346" s="20">
        <f>IF(A346="","",SUMIFS(Pagos!$E:$E,Pagos!$C:$C,A346))</f>
        <v/>
      </c>
      <c r="S346" s="20">
        <f>IF(A346="","",Q346-R346)</f>
        <v/>
      </c>
    </row>
    <row r="347">
      <c r="A347" s="18">
        <f>IF(B347="","","A"&amp;TEXT(ROW()-1,"000"))</f>
        <v/>
      </c>
      <c r="I347" s="19" t="n"/>
      <c r="N347" s="18">
        <f>IF(A347="","",SUMIFS(Ventas!$F:$F,Ventas!$C:$C,A347))</f>
        <v/>
      </c>
      <c r="O347" s="18">
        <f>IF(A347="","",SUMIFS(Clases!$I:$I,Clases!$C:$C,A347,Clases!$J:$J,"&lt;&gt;Reprogramada"))</f>
        <v/>
      </c>
      <c r="P347" s="18">
        <f>IF(A347="","",N347-O347)</f>
        <v/>
      </c>
      <c r="Q347" s="20">
        <f>IF(A347="","",SUMIFS(Ventas!$I:$I,Ventas!$C:$C,A347))</f>
        <v/>
      </c>
      <c r="R347" s="20">
        <f>IF(A347="","",SUMIFS(Pagos!$E:$E,Pagos!$C:$C,A347))</f>
        <v/>
      </c>
      <c r="S347" s="20">
        <f>IF(A347="","",Q347-R347)</f>
        <v/>
      </c>
    </row>
    <row r="348">
      <c r="A348" s="18">
        <f>IF(B348="","","A"&amp;TEXT(ROW()-1,"000"))</f>
        <v/>
      </c>
      <c r="I348" s="19" t="n"/>
      <c r="N348" s="18">
        <f>IF(A348="","",SUMIFS(Ventas!$F:$F,Ventas!$C:$C,A348))</f>
        <v/>
      </c>
      <c r="O348" s="18">
        <f>IF(A348="","",SUMIFS(Clases!$I:$I,Clases!$C:$C,A348,Clases!$J:$J,"&lt;&gt;Reprogramada"))</f>
        <v/>
      </c>
      <c r="P348" s="18">
        <f>IF(A348="","",N348-O348)</f>
        <v/>
      </c>
      <c r="Q348" s="20">
        <f>IF(A348="","",SUMIFS(Ventas!$I:$I,Ventas!$C:$C,A348))</f>
        <v/>
      </c>
      <c r="R348" s="20">
        <f>IF(A348="","",SUMIFS(Pagos!$E:$E,Pagos!$C:$C,A348))</f>
        <v/>
      </c>
      <c r="S348" s="20">
        <f>IF(A348="","",Q348-R348)</f>
        <v/>
      </c>
    </row>
    <row r="349">
      <c r="A349" s="18">
        <f>IF(B349="","","A"&amp;TEXT(ROW()-1,"000"))</f>
        <v/>
      </c>
      <c r="I349" s="19" t="n"/>
      <c r="N349" s="18">
        <f>IF(A349="","",SUMIFS(Ventas!$F:$F,Ventas!$C:$C,A349))</f>
        <v/>
      </c>
      <c r="O349" s="18">
        <f>IF(A349="","",SUMIFS(Clases!$I:$I,Clases!$C:$C,A349,Clases!$J:$J,"&lt;&gt;Reprogramada"))</f>
        <v/>
      </c>
      <c r="P349" s="18">
        <f>IF(A349="","",N349-O349)</f>
        <v/>
      </c>
      <c r="Q349" s="20">
        <f>IF(A349="","",SUMIFS(Ventas!$I:$I,Ventas!$C:$C,A349))</f>
        <v/>
      </c>
      <c r="R349" s="20">
        <f>IF(A349="","",SUMIFS(Pagos!$E:$E,Pagos!$C:$C,A349))</f>
        <v/>
      </c>
      <c r="S349" s="20">
        <f>IF(A349="","",Q349-R349)</f>
        <v/>
      </c>
    </row>
    <row r="350">
      <c r="A350" s="18">
        <f>IF(B350="","","A"&amp;TEXT(ROW()-1,"000"))</f>
        <v/>
      </c>
      <c r="I350" s="19" t="n"/>
      <c r="N350" s="18">
        <f>IF(A350="","",SUMIFS(Ventas!$F:$F,Ventas!$C:$C,A350))</f>
        <v/>
      </c>
      <c r="O350" s="18">
        <f>IF(A350="","",SUMIFS(Clases!$I:$I,Clases!$C:$C,A350,Clases!$J:$J,"&lt;&gt;Reprogramada"))</f>
        <v/>
      </c>
      <c r="P350" s="18">
        <f>IF(A350="","",N350-O350)</f>
        <v/>
      </c>
      <c r="Q350" s="20">
        <f>IF(A350="","",SUMIFS(Ventas!$I:$I,Ventas!$C:$C,A350))</f>
        <v/>
      </c>
      <c r="R350" s="20">
        <f>IF(A350="","",SUMIFS(Pagos!$E:$E,Pagos!$C:$C,A350))</f>
        <v/>
      </c>
      <c r="S350" s="20">
        <f>IF(A350="","",Q350-R350)</f>
        <v/>
      </c>
    </row>
    <row r="351">
      <c r="A351" s="18">
        <f>IF(B351="","","A"&amp;TEXT(ROW()-1,"000"))</f>
        <v/>
      </c>
      <c r="I351" s="19" t="n"/>
      <c r="N351" s="18">
        <f>IF(A351="","",SUMIFS(Ventas!$F:$F,Ventas!$C:$C,A351))</f>
        <v/>
      </c>
      <c r="O351" s="18">
        <f>IF(A351="","",SUMIFS(Clases!$I:$I,Clases!$C:$C,A351,Clases!$J:$J,"&lt;&gt;Reprogramada"))</f>
        <v/>
      </c>
      <c r="P351" s="18">
        <f>IF(A351="","",N351-O351)</f>
        <v/>
      </c>
      <c r="Q351" s="20">
        <f>IF(A351="","",SUMIFS(Ventas!$I:$I,Ventas!$C:$C,A351))</f>
        <v/>
      </c>
      <c r="R351" s="20">
        <f>IF(A351="","",SUMIFS(Pagos!$E:$E,Pagos!$C:$C,A351))</f>
        <v/>
      </c>
      <c r="S351" s="20">
        <f>IF(A351="","",Q351-R351)</f>
        <v/>
      </c>
    </row>
    <row r="352">
      <c r="A352" s="18">
        <f>IF(B352="","","A"&amp;TEXT(ROW()-1,"000"))</f>
        <v/>
      </c>
      <c r="I352" s="19" t="n"/>
      <c r="N352" s="18">
        <f>IF(A352="","",SUMIFS(Ventas!$F:$F,Ventas!$C:$C,A352))</f>
        <v/>
      </c>
      <c r="O352" s="18">
        <f>IF(A352="","",SUMIFS(Clases!$I:$I,Clases!$C:$C,A352,Clases!$J:$J,"&lt;&gt;Reprogramada"))</f>
        <v/>
      </c>
      <c r="P352" s="18">
        <f>IF(A352="","",N352-O352)</f>
        <v/>
      </c>
      <c r="Q352" s="20">
        <f>IF(A352="","",SUMIFS(Ventas!$I:$I,Ventas!$C:$C,A352))</f>
        <v/>
      </c>
      <c r="R352" s="20">
        <f>IF(A352="","",SUMIFS(Pagos!$E:$E,Pagos!$C:$C,A352))</f>
        <v/>
      </c>
      <c r="S352" s="20">
        <f>IF(A352="","",Q352-R352)</f>
        <v/>
      </c>
    </row>
    <row r="353">
      <c r="A353" s="18">
        <f>IF(B353="","","A"&amp;TEXT(ROW()-1,"000"))</f>
        <v/>
      </c>
      <c r="I353" s="19" t="n"/>
      <c r="N353" s="18">
        <f>IF(A353="","",SUMIFS(Ventas!$F:$F,Ventas!$C:$C,A353))</f>
        <v/>
      </c>
      <c r="O353" s="18">
        <f>IF(A353="","",SUMIFS(Clases!$I:$I,Clases!$C:$C,A353,Clases!$J:$J,"&lt;&gt;Reprogramada"))</f>
        <v/>
      </c>
      <c r="P353" s="18">
        <f>IF(A353="","",N353-O353)</f>
        <v/>
      </c>
      <c r="Q353" s="20">
        <f>IF(A353="","",SUMIFS(Ventas!$I:$I,Ventas!$C:$C,A353))</f>
        <v/>
      </c>
      <c r="R353" s="20">
        <f>IF(A353="","",SUMIFS(Pagos!$E:$E,Pagos!$C:$C,A353))</f>
        <v/>
      </c>
      <c r="S353" s="20">
        <f>IF(A353="","",Q353-R353)</f>
        <v/>
      </c>
    </row>
    <row r="354">
      <c r="A354" s="18">
        <f>IF(B354="","","A"&amp;TEXT(ROW()-1,"000"))</f>
        <v/>
      </c>
      <c r="I354" s="19" t="n"/>
      <c r="N354" s="18">
        <f>IF(A354="","",SUMIFS(Ventas!$F:$F,Ventas!$C:$C,A354))</f>
        <v/>
      </c>
      <c r="O354" s="18">
        <f>IF(A354="","",SUMIFS(Clases!$I:$I,Clases!$C:$C,A354,Clases!$J:$J,"&lt;&gt;Reprogramada"))</f>
        <v/>
      </c>
      <c r="P354" s="18">
        <f>IF(A354="","",N354-O354)</f>
        <v/>
      </c>
      <c r="Q354" s="20">
        <f>IF(A354="","",SUMIFS(Ventas!$I:$I,Ventas!$C:$C,A354))</f>
        <v/>
      </c>
      <c r="R354" s="20">
        <f>IF(A354="","",SUMIFS(Pagos!$E:$E,Pagos!$C:$C,A354))</f>
        <v/>
      </c>
      <c r="S354" s="20">
        <f>IF(A354="","",Q354-R354)</f>
        <v/>
      </c>
    </row>
    <row r="355">
      <c r="A355" s="18">
        <f>IF(B355="","","A"&amp;TEXT(ROW()-1,"000"))</f>
        <v/>
      </c>
      <c r="I355" s="19" t="n"/>
      <c r="N355" s="18">
        <f>IF(A355="","",SUMIFS(Ventas!$F:$F,Ventas!$C:$C,A355))</f>
        <v/>
      </c>
      <c r="O355" s="18">
        <f>IF(A355="","",SUMIFS(Clases!$I:$I,Clases!$C:$C,A355,Clases!$J:$J,"&lt;&gt;Reprogramada"))</f>
        <v/>
      </c>
      <c r="P355" s="18">
        <f>IF(A355="","",N355-O355)</f>
        <v/>
      </c>
      <c r="Q355" s="20">
        <f>IF(A355="","",SUMIFS(Ventas!$I:$I,Ventas!$C:$C,A355))</f>
        <v/>
      </c>
      <c r="R355" s="20">
        <f>IF(A355="","",SUMIFS(Pagos!$E:$E,Pagos!$C:$C,A355))</f>
        <v/>
      </c>
      <c r="S355" s="20">
        <f>IF(A355="","",Q355-R355)</f>
        <v/>
      </c>
    </row>
    <row r="356">
      <c r="A356" s="18">
        <f>IF(B356="","","A"&amp;TEXT(ROW()-1,"000"))</f>
        <v/>
      </c>
      <c r="I356" s="19" t="n"/>
      <c r="N356" s="18">
        <f>IF(A356="","",SUMIFS(Ventas!$F:$F,Ventas!$C:$C,A356))</f>
        <v/>
      </c>
      <c r="O356" s="18">
        <f>IF(A356="","",SUMIFS(Clases!$I:$I,Clases!$C:$C,A356,Clases!$J:$J,"&lt;&gt;Reprogramada"))</f>
        <v/>
      </c>
      <c r="P356" s="18">
        <f>IF(A356="","",N356-O356)</f>
        <v/>
      </c>
      <c r="Q356" s="20">
        <f>IF(A356="","",SUMIFS(Ventas!$I:$I,Ventas!$C:$C,A356))</f>
        <v/>
      </c>
      <c r="R356" s="20">
        <f>IF(A356="","",SUMIFS(Pagos!$E:$E,Pagos!$C:$C,A356))</f>
        <v/>
      </c>
      <c r="S356" s="20">
        <f>IF(A356="","",Q356-R356)</f>
        <v/>
      </c>
    </row>
    <row r="357">
      <c r="A357" s="18">
        <f>IF(B357="","","A"&amp;TEXT(ROW()-1,"000"))</f>
        <v/>
      </c>
      <c r="I357" s="19" t="n"/>
      <c r="N357" s="18">
        <f>IF(A357="","",SUMIFS(Ventas!$F:$F,Ventas!$C:$C,A357))</f>
        <v/>
      </c>
      <c r="O357" s="18">
        <f>IF(A357="","",SUMIFS(Clases!$I:$I,Clases!$C:$C,A357,Clases!$J:$J,"&lt;&gt;Reprogramada"))</f>
        <v/>
      </c>
      <c r="P357" s="18">
        <f>IF(A357="","",N357-O357)</f>
        <v/>
      </c>
      <c r="Q357" s="20">
        <f>IF(A357="","",SUMIFS(Ventas!$I:$I,Ventas!$C:$C,A357))</f>
        <v/>
      </c>
      <c r="R357" s="20">
        <f>IF(A357="","",SUMIFS(Pagos!$E:$E,Pagos!$C:$C,A357))</f>
        <v/>
      </c>
      <c r="S357" s="20">
        <f>IF(A357="","",Q357-R357)</f>
        <v/>
      </c>
    </row>
    <row r="358">
      <c r="A358" s="18">
        <f>IF(B358="","","A"&amp;TEXT(ROW()-1,"000"))</f>
        <v/>
      </c>
      <c r="I358" s="19" t="n"/>
      <c r="N358" s="18">
        <f>IF(A358="","",SUMIFS(Ventas!$F:$F,Ventas!$C:$C,A358))</f>
        <v/>
      </c>
      <c r="O358" s="18">
        <f>IF(A358="","",SUMIFS(Clases!$I:$I,Clases!$C:$C,A358,Clases!$J:$J,"&lt;&gt;Reprogramada"))</f>
        <v/>
      </c>
      <c r="P358" s="18">
        <f>IF(A358="","",N358-O358)</f>
        <v/>
      </c>
      <c r="Q358" s="20">
        <f>IF(A358="","",SUMIFS(Ventas!$I:$I,Ventas!$C:$C,A358))</f>
        <v/>
      </c>
      <c r="R358" s="20">
        <f>IF(A358="","",SUMIFS(Pagos!$E:$E,Pagos!$C:$C,A358))</f>
        <v/>
      </c>
      <c r="S358" s="20">
        <f>IF(A358="","",Q358-R358)</f>
        <v/>
      </c>
    </row>
    <row r="359">
      <c r="A359" s="18">
        <f>IF(B359="","","A"&amp;TEXT(ROW()-1,"000"))</f>
        <v/>
      </c>
      <c r="I359" s="19" t="n"/>
      <c r="N359" s="18">
        <f>IF(A359="","",SUMIFS(Ventas!$F:$F,Ventas!$C:$C,A359))</f>
        <v/>
      </c>
      <c r="O359" s="18">
        <f>IF(A359="","",SUMIFS(Clases!$I:$I,Clases!$C:$C,A359,Clases!$J:$J,"&lt;&gt;Reprogramada"))</f>
        <v/>
      </c>
      <c r="P359" s="18">
        <f>IF(A359="","",N359-O359)</f>
        <v/>
      </c>
      <c r="Q359" s="20">
        <f>IF(A359="","",SUMIFS(Ventas!$I:$I,Ventas!$C:$C,A359))</f>
        <v/>
      </c>
      <c r="R359" s="20">
        <f>IF(A359="","",SUMIFS(Pagos!$E:$E,Pagos!$C:$C,A359))</f>
        <v/>
      </c>
      <c r="S359" s="20">
        <f>IF(A359="","",Q359-R359)</f>
        <v/>
      </c>
    </row>
    <row r="360">
      <c r="A360" s="18">
        <f>IF(B360="","","A"&amp;TEXT(ROW()-1,"000"))</f>
        <v/>
      </c>
      <c r="I360" s="19" t="n"/>
      <c r="N360" s="18">
        <f>IF(A360="","",SUMIFS(Ventas!$F:$F,Ventas!$C:$C,A360))</f>
        <v/>
      </c>
      <c r="O360" s="18">
        <f>IF(A360="","",SUMIFS(Clases!$I:$I,Clases!$C:$C,A360,Clases!$J:$J,"&lt;&gt;Reprogramada"))</f>
        <v/>
      </c>
      <c r="P360" s="18">
        <f>IF(A360="","",N360-O360)</f>
        <v/>
      </c>
      <c r="Q360" s="20">
        <f>IF(A360="","",SUMIFS(Ventas!$I:$I,Ventas!$C:$C,A360))</f>
        <v/>
      </c>
      <c r="R360" s="20">
        <f>IF(A360="","",SUMIFS(Pagos!$E:$E,Pagos!$C:$C,A360))</f>
        <v/>
      </c>
      <c r="S360" s="20">
        <f>IF(A360="","",Q360-R360)</f>
        <v/>
      </c>
    </row>
    <row r="361">
      <c r="A361" s="18">
        <f>IF(B361="","","A"&amp;TEXT(ROW()-1,"000"))</f>
        <v/>
      </c>
      <c r="I361" s="19" t="n"/>
      <c r="N361" s="18">
        <f>IF(A361="","",SUMIFS(Ventas!$F:$F,Ventas!$C:$C,A361))</f>
        <v/>
      </c>
      <c r="O361" s="18">
        <f>IF(A361="","",SUMIFS(Clases!$I:$I,Clases!$C:$C,A361,Clases!$J:$J,"&lt;&gt;Reprogramada"))</f>
        <v/>
      </c>
      <c r="P361" s="18">
        <f>IF(A361="","",N361-O361)</f>
        <v/>
      </c>
      <c r="Q361" s="20">
        <f>IF(A361="","",SUMIFS(Ventas!$I:$I,Ventas!$C:$C,A361))</f>
        <v/>
      </c>
      <c r="R361" s="20">
        <f>IF(A361="","",SUMIFS(Pagos!$E:$E,Pagos!$C:$C,A361))</f>
        <v/>
      </c>
      <c r="S361" s="20">
        <f>IF(A361="","",Q361-R361)</f>
        <v/>
      </c>
    </row>
    <row r="362">
      <c r="A362" s="18">
        <f>IF(B362="","","A"&amp;TEXT(ROW()-1,"000"))</f>
        <v/>
      </c>
      <c r="I362" s="19" t="n"/>
      <c r="N362" s="18">
        <f>IF(A362="","",SUMIFS(Ventas!$F:$F,Ventas!$C:$C,A362))</f>
        <v/>
      </c>
      <c r="O362" s="18">
        <f>IF(A362="","",SUMIFS(Clases!$I:$I,Clases!$C:$C,A362,Clases!$J:$J,"&lt;&gt;Reprogramada"))</f>
        <v/>
      </c>
      <c r="P362" s="18">
        <f>IF(A362="","",N362-O362)</f>
        <v/>
      </c>
      <c r="Q362" s="20">
        <f>IF(A362="","",SUMIFS(Ventas!$I:$I,Ventas!$C:$C,A362))</f>
        <v/>
      </c>
      <c r="R362" s="20">
        <f>IF(A362="","",SUMIFS(Pagos!$E:$E,Pagos!$C:$C,A362))</f>
        <v/>
      </c>
      <c r="S362" s="20">
        <f>IF(A362="","",Q362-R362)</f>
        <v/>
      </c>
    </row>
    <row r="363">
      <c r="A363" s="18">
        <f>IF(B363="","","A"&amp;TEXT(ROW()-1,"000"))</f>
        <v/>
      </c>
      <c r="I363" s="19" t="n"/>
      <c r="N363" s="18">
        <f>IF(A363="","",SUMIFS(Ventas!$F:$F,Ventas!$C:$C,A363))</f>
        <v/>
      </c>
      <c r="O363" s="18">
        <f>IF(A363="","",SUMIFS(Clases!$I:$I,Clases!$C:$C,A363,Clases!$J:$J,"&lt;&gt;Reprogramada"))</f>
        <v/>
      </c>
      <c r="P363" s="18">
        <f>IF(A363="","",N363-O363)</f>
        <v/>
      </c>
      <c r="Q363" s="20">
        <f>IF(A363="","",SUMIFS(Ventas!$I:$I,Ventas!$C:$C,A363))</f>
        <v/>
      </c>
      <c r="R363" s="20">
        <f>IF(A363="","",SUMIFS(Pagos!$E:$E,Pagos!$C:$C,A363))</f>
        <v/>
      </c>
      <c r="S363" s="20">
        <f>IF(A363="","",Q363-R363)</f>
        <v/>
      </c>
    </row>
    <row r="364">
      <c r="A364" s="18">
        <f>IF(B364="","","A"&amp;TEXT(ROW()-1,"000"))</f>
        <v/>
      </c>
      <c r="I364" s="19" t="n"/>
      <c r="N364" s="18">
        <f>IF(A364="","",SUMIFS(Ventas!$F:$F,Ventas!$C:$C,A364))</f>
        <v/>
      </c>
      <c r="O364" s="18">
        <f>IF(A364="","",SUMIFS(Clases!$I:$I,Clases!$C:$C,A364,Clases!$J:$J,"&lt;&gt;Reprogramada"))</f>
        <v/>
      </c>
      <c r="P364" s="18">
        <f>IF(A364="","",N364-O364)</f>
        <v/>
      </c>
      <c r="Q364" s="20">
        <f>IF(A364="","",SUMIFS(Ventas!$I:$I,Ventas!$C:$C,A364))</f>
        <v/>
      </c>
      <c r="R364" s="20">
        <f>IF(A364="","",SUMIFS(Pagos!$E:$E,Pagos!$C:$C,A364))</f>
        <v/>
      </c>
      <c r="S364" s="20">
        <f>IF(A364="","",Q364-R364)</f>
        <v/>
      </c>
    </row>
    <row r="365">
      <c r="A365" s="18">
        <f>IF(B365="","","A"&amp;TEXT(ROW()-1,"000"))</f>
        <v/>
      </c>
      <c r="I365" s="19" t="n"/>
      <c r="N365" s="18">
        <f>IF(A365="","",SUMIFS(Ventas!$F:$F,Ventas!$C:$C,A365))</f>
        <v/>
      </c>
      <c r="O365" s="18">
        <f>IF(A365="","",SUMIFS(Clases!$I:$I,Clases!$C:$C,A365,Clases!$J:$J,"&lt;&gt;Reprogramada"))</f>
        <v/>
      </c>
      <c r="P365" s="18">
        <f>IF(A365="","",N365-O365)</f>
        <v/>
      </c>
      <c r="Q365" s="20">
        <f>IF(A365="","",SUMIFS(Ventas!$I:$I,Ventas!$C:$C,A365))</f>
        <v/>
      </c>
      <c r="R365" s="20">
        <f>IF(A365="","",SUMIFS(Pagos!$E:$E,Pagos!$C:$C,A365))</f>
        <v/>
      </c>
      <c r="S365" s="20">
        <f>IF(A365="","",Q365-R365)</f>
        <v/>
      </c>
    </row>
    <row r="366">
      <c r="A366" s="18">
        <f>IF(B366="","","A"&amp;TEXT(ROW()-1,"000"))</f>
        <v/>
      </c>
      <c r="I366" s="19" t="n"/>
      <c r="N366" s="18">
        <f>IF(A366="","",SUMIFS(Ventas!$F:$F,Ventas!$C:$C,A366))</f>
        <v/>
      </c>
      <c r="O366" s="18">
        <f>IF(A366="","",SUMIFS(Clases!$I:$I,Clases!$C:$C,A366,Clases!$J:$J,"&lt;&gt;Reprogramada"))</f>
        <v/>
      </c>
      <c r="P366" s="18">
        <f>IF(A366="","",N366-O366)</f>
        <v/>
      </c>
      <c r="Q366" s="20">
        <f>IF(A366="","",SUMIFS(Ventas!$I:$I,Ventas!$C:$C,A366))</f>
        <v/>
      </c>
      <c r="R366" s="20">
        <f>IF(A366="","",SUMIFS(Pagos!$E:$E,Pagos!$C:$C,A366))</f>
        <v/>
      </c>
      <c r="S366" s="20">
        <f>IF(A366="","",Q366-R366)</f>
        <v/>
      </c>
    </row>
    <row r="367">
      <c r="A367" s="18">
        <f>IF(B367="","","A"&amp;TEXT(ROW()-1,"000"))</f>
        <v/>
      </c>
      <c r="I367" s="19" t="n"/>
      <c r="N367" s="18">
        <f>IF(A367="","",SUMIFS(Ventas!$F:$F,Ventas!$C:$C,A367))</f>
        <v/>
      </c>
      <c r="O367" s="18">
        <f>IF(A367="","",SUMIFS(Clases!$I:$I,Clases!$C:$C,A367,Clases!$J:$J,"&lt;&gt;Reprogramada"))</f>
        <v/>
      </c>
      <c r="P367" s="18">
        <f>IF(A367="","",N367-O367)</f>
        <v/>
      </c>
      <c r="Q367" s="20">
        <f>IF(A367="","",SUMIFS(Ventas!$I:$I,Ventas!$C:$C,A367))</f>
        <v/>
      </c>
      <c r="R367" s="20">
        <f>IF(A367="","",SUMIFS(Pagos!$E:$E,Pagos!$C:$C,A367))</f>
        <v/>
      </c>
      <c r="S367" s="20">
        <f>IF(A367="","",Q367-R367)</f>
        <v/>
      </c>
    </row>
    <row r="368">
      <c r="A368" s="18">
        <f>IF(B368="","","A"&amp;TEXT(ROW()-1,"000"))</f>
        <v/>
      </c>
      <c r="I368" s="19" t="n"/>
      <c r="N368" s="18">
        <f>IF(A368="","",SUMIFS(Ventas!$F:$F,Ventas!$C:$C,A368))</f>
        <v/>
      </c>
      <c r="O368" s="18">
        <f>IF(A368="","",SUMIFS(Clases!$I:$I,Clases!$C:$C,A368,Clases!$J:$J,"&lt;&gt;Reprogramada"))</f>
        <v/>
      </c>
      <c r="P368" s="18">
        <f>IF(A368="","",N368-O368)</f>
        <v/>
      </c>
      <c r="Q368" s="20">
        <f>IF(A368="","",SUMIFS(Ventas!$I:$I,Ventas!$C:$C,A368))</f>
        <v/>
      </c>
      <c r="R368" s="20">
        <f>IF(A368="","",SUMIFS(Pagos!$E:$E,Pagos!$C:$C,A368))</f>
        <v/>
      </c>
      <c r="S368" s="20">
        <f>IF(A368="","",Q368-R368)</f>
        <v/>
      </c>
    </row>
    <row r="369">
      <c r="A369" s="18">
        <f>IF(B369="","","A"&amp;TEXT(ROW()-1,"000"))</f>
        <v/>
      </c>
      <c r="I369" s="19" t="n"/>
      <c r="N369" s="18">
        <f>IF(A369="","",SUMIFS(Ventas!$F:$F,Ventas!$C:$C,A369))</f>
        <v/>
      </c>
      <c r="O369" s="18">
        <f>IF(A369="","",SUMIFS(Clases!$I:$I,Clases!$C:$C,A369,Clases!$J:$J,"&lt;&gt;Reprogramada"))</f>
        <v/>
      </c>
      <c r="P369" s="18">
        <f>IF(A369="","",N369-O369)</f>
        <v/>
      </c>
      <c r="Q369" s="20">
        <f>IF(A369="","",SUMIFS(Ventas!$I:$I,Ventas!$C:$C,A369))</f>
        <v/>
      </c>
      <c r="R369" s="20">
        <f>IF(A369="","",SUMIFS(Pagos!$E:$E,Pagos!$C:$C,A369))</f>
        <v/>
      </c>
      <c r="S369" s="20">
        <f>IF(A369="","",Q369-R369)</f>
        <v/>
      </c>
    </row>
    <row r="370">
      <c r="A370" s="18">
        <f>IF(B370="","","A"&amp;TEXT(ROW()-1,"000"))</f>
        <v/>
      </c>
      <c r="I370" s="19" t="n"/>
      <c r="N370" s="18">
        <f>IF(A370="","",SUMIFS(Ventas!$F:$F,Ventas!$C:$C,A370))</f>
        <v/>
      </c>
      <c r="O370" s="18">
        <f>IF(A370="","",SUMIFS(Clases!$I:$I,Clases!$C:$C,A370,Clases!$J:$J,"&lt;&gt;Reprogramada"))</f>
        <v/>
      </c>
      <c r="P370" s="18">
        <f>IF(A370="","",N370-O370)</f>
        <v/>
      </c>
      <c r="Q370" s="20">
        <f>IF(A370="","",SUMIFS(Ventas!$I:$I,Ventas!$C:$C,A370))</f>
        <v/>
      </c>
      <c r="R370" s="20">
        <f>IF(A370="","",SUMIFS(Pagos!$E:$E,Pagos!$C:$C,A370))</f>
        <v/>
      </c>
      <c r="S370" s="20">
        <f>IF(A370="","",Q370-R370)</f>
        <v/>
      </c>
    </row>
    <row r="371">
      <c r="A371" s="18">
        <f>IF(B371="","","A"&amp;TEXT(ROW()-1,"000"))</f>
        <v/>
      </c>
      <c r="I371" s="19" t="n"/>
      <c r="N371" s="18">
        <f>IF(A371="","",SUMIFS(Ventas!$F:$F,Ventas!$C:$C,A371))</f>
        <v/>
      </c>
      <c r="O371" s="18">
        <f>IF(A371="","",SUMIFS(Clases!$I:$I,Clases!$C:$C,A371,Clases!$J:$J,"&lt;&gt;Reprogramada"))</f>
        <v/>
      </c>
      <c r="P371" s="18">
        <f>IF(A371="","",N371-O371)</f>
        <v/>
      </c>
      <c r="Q371" s="20">
        <f>IF(A371="","",SUMIFS(Ventas!$I:$I,Ventas!$C:$C,A371))</f>
        <v/>
      </c>
      <c r="R371" s="20">
        <f>IF(A371="","",SUMIFS(Pagos!$E:$E,Pagos!$C:$C,A371))</f>
        <v/>
      </c>
      <c r="S371" s="20">
        <f>IF(A371="","",Q371-R371)</f>
        <v/>
      </c>
    </row>
    <row r="372">
      <c r="A372" s="18">
        <f>IF(B372="","","A"&amp;TEXT(ROW()-1,"000"))</f>
        <v/>
      </c>
      <c r="I372" s="19" t="n"/>
      <c r="N372" s="18">
        <f>IF(A372="","",SUMIFS(Ventas!$F:$F,Ventas!$C:$C,A372))</f>
        <v/>
      </c>
      <c r="O372" s="18">
        <f>IF(A372="","",SUMIFS(Clases!$I:$I,Clases!$C:$C,A372,Clases!$J:$J,"&lt;&gt;Reprogramada"))</f>
        <v/>
      </c>
      <c r="P372" s="18">
        <f>IF(A372="","",N372-O372)</f>
        <v/>
      </c>
      <c r="Q372" s="20">
        <f>IF(A372="","",SUMIFS(Ventas!$I:$I,Ventas!$C:$C,A372))</f>
        <v/>
      </c>
      <c r="R372" s="20">
        <f>IF(A372="","",SUMIFS(Pagos!$E:$E,Pagos!$C:$C,A372))</f>
        <v/>
      </c>
      <c r="S372" s="20">
        <f>IF(A372="","",Q372-R372)</f>
        <v/>
      </c>
    </row>
    <row r="373">
      <c r="A373" s="18">
        <f>IF(B373="","","A"&amp;TEXT(ROW()-1,"000"))</f>
        <v/>
      </c>
      <c r="I373" s="19" t="n"/>
      <c r="N373" s="18">
        <f>IF(A373="","",SUMIFS(Ventas!$F:$F,Ventas!$C:$C,A373))</f>
        <v/>
      </c>
      <c r="O373" s="18">
        <f>IF(A373="","",SUMIFS(Clases!$I:$I,Clases!$C:$C,A373,Clases!$J:$J,"&lt;&gt;Reprogramada"))</f>
        <v/>
      </c>
      <c r="P373" s="18">
        <f>IF(A373="","",N373-O373)</f>
        <v/>
      </c>
      <c r="Q373" s="20">
        <f>IF(A373="","",SUMIFS(Ventas!$I:$I,Ventas!$C:$C,A373))</f>
        <v/>
      </c>
      <c r="R373" s="20">
        <f>IF(A373="","",SUMIFS(Pagos!$E:$E,Pagos!$C:$C,A373))</f>
        <v/>
      </c>
      <c r="S373" s="20">
        <f>IF(A373="","",Q373-R373)</f>
        <v/>
      </c>
    </row>
    <row r="374">
      <c r="A374" s="18">
        <f>IF(B374="","","A"&amp;TEXT(ROW()-1,"000"))</f>
        <v/>
      </c>
      <c r="I374" s="19" t="n"/>
      <c r="N374" s="18">
        <f>IF(A374="","",SUMIFS(Ventas!$F:$F,Ventas!$C:$C,A374))</f>
        <v/>
      </c>
      <c r="O374" s="18">
        <f>IF(A374="","",SUMIFS(Clases!$I:$I,Clases!$C:$C,A374,Clases!$J:$J,"&lt;&gt;Reprogramada"))</f>
        <v/>
      </c>
      <c r="P374" s="18">
        <f>IF(A374="","",N374-O374)</f>
        <v/>
      </c>
      <c r="Q374" s="20">
        <f>IF(A374="","",SUMIFS(Ventas!$I:$I,Ventas!$C:$C,A374))</f>
        <v/>
      </c>
      <c r="R374" s="20">
        <f>IF(A374="","",SUMIFS(Pagos!$E:$E,Pagos!$C:$C,A374))</f>
        <v/>
      </c>
      <c r="S374" s="20">
        <f>IF(A374="","",Q374-R374)</f>
        <v/>
      </c>
    </row>
    <row r="375">
      <c r="A375" s="18">
        <f>IF(B375="","","A"&amp;TEXT(ROW()-1,"000"))</f>
        <v/>
      </c>
      <c r="I375" s="19" t="n"/>
      <c r="N375" s="18">
        <f>IF(A375="","",SUMIFS(Ventas!$F:$F,Ventas!$C:$C,A375))</f>
        <v/>
      </c>
      <c r="O375" s="18">
        <f>IF(A375="","",SUMIFS(Clases!$I:$I,Clases!$C:$C,A375,Clases!$J:$J,"&lt;&gt;Reprogramada"))</f>
        <v/>
      </c>
      <c r="P375" s="18">
        <f>IF(A375="","",N375-O375)</f>
        <v/>
      </c>
      <c r="Q375" s="20">
        <f>IF(A375="","",SUMIFS(Ventas!$I:$I,Ventas!$C:$C,A375))</f>
        <v/>
      </c>
      <c r="R375" s="20">
        <f>IF(A375="","",SUMIFS(Pagos!$E:$E,Pagos!$C:$C,A375))</f>
        <v/>
      </c>
      <c r="S375" s="20">
        <f>IF(A375="","",Q375-R375)</f>
        <v/>
      </c>
    </row>
    <row r="376">
      <c r="A376" s="18">
        <f>IF(B376="","","A"&amp;TEXT(ROW()-1,"000"))</f>
        <v/>
      </c>
      <c r="I376" s="19" t="n"/>
      <c r="N376" s="18">
        <f>IF(A376="","",SUMIFS(Ventas!$F:$F,Ventas!$C:$C,A376))</f>
        <v/>
      </c>
      <c r="O376" s="18">
        <f>IF(A376="","",SUMIFS(Clases!$I:$I,Clases!$C:$C,A376,Clases!$J:$J,"&lt;&gt;Reprogramada"))</f>
        <v/>
      </c>
      <c r="P376" s="18">
        <f>IF(A376="","",N376-O376)</f>
        <v/>
      </c>
      <c r="Q376" s="20">
        <f>IF(A376="","",SUMIFS(Ventas!$I:$I,Ventas!$C:$C,A376))</f>
        <v/>
      </c>
      <c r="R376" s="20">
        <f>IF(A376="","",SUMIFS(Pagos!$E:$E,Pagos!$C:$C,A376))</f>
        <v/>
      </c>
      <c r="S376" s="20">
        <f>IF(A376="","",Q376-R376)</f>
        <v/>
      </c>
    </row>
    <row r="377">
      <c r="A377" s="18">
        <f>IF(B377="","","A"&amp;TEXT(ROW()-1,"000"))</f>
        <v/>
      </c>
      <c r="I377" s="19" t="n"/>
      <c r="N377" s="18">
        <f>IF(A377="","",SUMIFS(Ventas!$F:$F,Ventas!$C:$C,A377))</f>
        <v/>
      </c>
      <c r="O377" s="18">
        <f>IF(A377="","",SUMIFS(Clases!$I:$I,Clases!$C:$C,A377,Clases!$J:$J,"&lt;&gt;Reprogramada"))</f>
        <v/>
      </c>
      <c r="P377" s="18">
        <f>IF(A377="","",N377-O377)</f>
        <v/>
      </c>
      <c r="Q377" s="20">
        <f>IF(A377="","",SUMIFS(Ventas!$I:$I,Ventas!$C:$C,A377))</f>
        <v/>
      </c>
      <c r="R377" s="20">
        <f>IF(A377="","",SUMIFS(Pagos!$E:$E,Pagos!$C:$C,A377))</f>
        <v/>
      </c>
      <c r="S377" s="20">
        <f>IF(A377="","",Q377-R377)</f>
        <v/>
      </c>
    </row>
    <row r="378">
      <c r="A378" s="18">
        <f>IF(B378="","","A"&amp;TEXT(ROW()-1,"000"))</f>
        <v/>
      </c>
      <c r="I378" s="19" t="n"/>
      <c r="N378" s="18">
        <f>IF(A378="","",SUMIFS(Ventas!$F:$F,Ventas!$C:$C,A378))</f>
        <v/>
      </c>
      <c r="O378" s="18">
        <f>IF(A378="","",SUMIFS(Clases!$I:$I,Clases!$C:$C,A378,Clases!$J:$J,"&lt;&gt;Reprogramada"))</f>
        <v/>
      </c>
      <c r="P378" s="18">
        <f>IF(A378="","",N378-O378)</f>
        <v/>
      </c>
      <c r="Q378" s="20">
        <f>IF(A378="","",SUMIFS(Ventas!$I:$I,Ventas!$C:$C,A378))</f>
        <v/>
      </c>
      <c r="R378" s="20">
        <f>IF(A378="","",SUMIFS(Pagos!$E:$E,Pagos!$C:$C,A378))</f>
        <v/>
      </c>
      <c r="S378" s="20">
        <f>IF(A378="","",Q378-R378)</f>
        <v/>
      </c>
    </row>
    <row r="379">
      <c r="A379" s="18">
        <f>IF(B379="","","A"&amp;TEXT(ROW()-1,"000"))</f>
        <v/>
      </c>
      <c r="I379" s="19" t="n"/>
      <c r="N379" s="18">
        <f>IF(A379="","",SUMIFS(Ventas!$F:$F,Ventas!$C:$C,A379))</f>
        <v/>
      </c>
      <c r="O379" s="18">
        <f>IF(A379="","",SUMIFS(Clases!$I:$I,Clases!$C:$C,A379,Clases!$J:$J,"&lt;&gt;Reprogramada"))</f>
        <v/>
      </c>
      <c r="P379" s="18">
        <f>IF(A379="","",N379-O379)</f>
        <v/>
      </c>
      <c r="Q379" s="20">
        <f>IF(A379="","",SUMIFS(Ventas!$I:$I,Ventas!$C:$C,A379))</f>
        <v/>
      </c>
      <c r="R379" s="20">
        <f>IF(A379="","",SUMIFS(Pagos!$E:$E,Pagos!$C:$C,A379))</f>
        <v/>
      </c>
      <c r="S379" s="20">
        <f>IF(A379="","",Q379-R379)</f>
        <v/>
      </c>
    </row>
    <row r="380">
      <c r="A380" s="18">
        <f>IF(B380="","","A"&amp;TEXT(ROW()-1,"000"))</f>
        <v/>
      </c>
      <c r="I380" s="19" t="n"/>
      <c r="N380" s="18">
        <f>IF(A380="","",SUMIFS(Ventas!$F:$F,Ventas!$C:$C,A380))</f>
        <v/>
      </c>
      <c r="O380" s="18">
        <f>IF(A380="","",SUMIFS(Clases!$I:$I,Clases!$C:$C,A380,Clases!$J:$J,"&lt;&gt;Reprogramada"))</f>
        <v/>
      </c>
      <c r="P380" s="18">
        <f>IF(A380="","",N380-O380)</f>
        <v/>
      </c>
      <c r="Q380" s="20">
        <f>IF(A380="","",SUMIFS(Ventas!$I:$I,Ventas!$C:$C,A380))</f>
        <v/>
      </c>
      <c r="R380" s="20">
        <f>IF(A380="","",SUMIFS(Pagos!$E:$E,Pagos!$C:$C,A380))</f>
        <v/>
      </c>
      <c r="S380" s="20">
        <f>IF(A380="","",Q380-R380)</f>
        <v/>
      </c>
    </row>
    <row r="381">
      <c r="A381" s="18">
        <f>IF(B381="","","A"&amp;TEXT(ROW()-1,"000"))</f>
        <v/>
      </c>
      <c r="I381" s="19" t="n"/>
      <c r="N381" s="18">
        <f>IF(A381="","",SUMIFS(Ventas!$F:$F,Ventas!$C:$C,A381))</f>
        <v/>
      </c>
      <c r="O381" s="18">
        <f>IF(A381="","",SUMIFS(Clases!$I:$I,Clases!$C:$C,A381,Clases!$J:$J,"&lt;&gt;Reprogramada"))</f>
        <v/>
      </c>
      <c r="P381" s="18">
        <f>IF(A381="","",N381-O381)</f>
        <v/>
      </c>
      <c r="Q381" s="20">
        <f>IF(A381="","",SUMIFS(Ventas!$I:$I,Ventas!$C:$C,A381))</f>
        <v/>
      </c>
      <c r="R381" s="20">
        <f>IF(A381="","",SUMIFS(Pagos!$E:$E,Pagos!$C:$C,A381))</f>
        <v/>
      </c>
      <c r="S381" s="20">
        <f>IF(A381="","",Q381-R381)</f>
        <v/>
      </c>
    </row>
    <row r="382">
      <c r="A382" s="18">
        <f>IF(B382="","","A"&amp;TEXT(ROW()-1,"000"))</f>
        <v/>
      </c>
      <c r="I382" s="19" t="n"/>
      <c r="N382" s="18">
        <f>IF(A382="","",SUMIFS(Ventas!$F:$F,Ventas!$C:$C,A382))</f>
        <v/>
      </c>
      <c r="O382" s="18">
        <f>IF(A382="","",SUMIFS(Clases!$I:$I,Clases!$C:$C,A382,Clases!$J:$J,"&lt;&gt;Reprogramada"))</f>
        <v/>
      </c>
      <c r="P382" s="18">
        <f>IF(A382="","",N382-O382)</f>
        <v/>
      </c>
      <c r="Q382" s="20">
        <f>IF(A382="","",SUMIFS(Ventas!$I:$I,Ventas!$C:$C,A382))</f>
        <v/>
      </c>
      <c r="R382" s="20">
        <f>IF(A382="","",SUMIFS(Pagos!$E:$E,Pagos!$C:$C,A382))</f>
        <v/>
      </c>
      <c r="S382" s="20">
        <f>IF(A382="","",Q382-R382)</f>
        <v/>
      </c>
    </row>
    <row r="383">
      <c r="A383" s="18">
        <f>IF(B383="","","A"&amp;TEXT(ROW()-1,"000"))</f>
        <v/>
      </c>
      <c r="I383" s="19" t="n"/>
      <c r="N383" s="18">
        <f>IF(A383="","",SUMIFS(Ventas!$F:$F,Ventas!$C:$C,A383))</f>
        <v/>
      </c>
      <c r="O383" s="18">
        <f>IF(A383="","",SUMIFS(Clases!$I:$I,Clases!$C:$C,A383,Clases!$J:$J,"&lt;&gt;Reprogramada"))</f>
        <v/>
      </c>
      <c r="P383" s="18">
        <f>IF(A383="","",N383-O383)</f>
        <v/>
      </c>
      <c r="Q383" s="20">
        <f>IF(A383="","",SUMIFS(Ventas!$I:$I,Ventas!$C:$C,A383))</f>
        <v/>
      </c>
      <c r="R383" s="20">
        <f>IF(A383="","",SUMIFS(Pagos!$E:$E,Pagos!$C:$C,A383))</f>
        <v/>
      </c>
      <c r="S383" s="20">
        <f>IF(A383="","",Q383-R383)</f>
        <v/>
      </c>
    </row>
    <row r="384">
      <c r="A384" s="18">
        <f>IF(B384="","","A"&amp;TEXT(ROW()-1,"000"))</f>
        <v/>
      </c>
      <c r="I384" s="19" t="n"/>
      <c r="N384" s="18">
        <f>IF(A384="","",SUMIFS(Ventas!$F:$F,Ventas!$C:$C,A384))</f>
        <v/>
      </c>
      <c r="O384" s="18">
        <f>IF(A384="","",SUMIFS(Clases!$I:$I,Clases!$C:$C,A384,Clases!$J:$J,"&lt;&gt;Reprogramada"))</f>
        <v/>
      </c>
      <c r="P384" s="18">
        <f>IF(A384="","",N384-O384)</f>
        <v/>
      </c>
      <c r="Q384" s="20">
        <f>IF(A384="","",SUMIFS(Ventas!$I:$I,Ventas!$C:$C,A384))</f>
        <v/>
      </c>
      <c r="R384" s="20">
        <f>IF(A384="","",SUMIFS(Pagos!$E:$E,Pagos!$C:$C,A384))</f>
        <v/>
      </c>
      <c r="S384" s="20">
        <f>IF(A384="","",Q384-R384)</f>
        <v/>
      </c>
    </row>
    <row r="385">
      <c r="A385" s="18">
        <f>IF(B385="","","A"&amp;TEXT(ROW()-1,"000"))</f>
        <v/>
      </c>
      <c r="I385" s="19" t="n"/>
      <c r="N385" s="18">
        <f>IF(A385="","",SUMIFS(Ventas!$F:$F,Ventas!$C:$C,A385))</f>
        <v/>
      </c>
      <c r="O385" s="18">
        <f>IF(A385="","",SUMIFS(Clases!$I:$I,Clases!$C:$C,A385,Clases!$J:$J,"&lt;&gt;Reprogramada"))</f>
        <v/>
      </c>
      <c r="P385" s="18">
        <f>IF(A385="","",N385-O385)</f>
        <v/>
      </c>
      <c r="Q385" s="20">
        <f>IF(A385="","",SUMIFS(Ventas!$I:$I,Ventas!$C:$C,A385))</f>
        <v/>
      </c>
      <c r="R385" s="20">
        <f>IF(A385="","",SUMIFS(Pagos!$E:$E,Pagos!$C:$C,A385))</f>
        <v/>
      </c>
      <c r="S385" s="20">
        <f>IF(A385="","",Q385-R385)</f>
        <v/>
      </c>
    </row>
    <row r="386">
      <c r="A386" s="18">
        <f>IF(B386="","","A"&amp;TEXT(ROW()-1,"000"))</f>
        <v/>
      </c>
      <c r="I386" s="19" t="n"/>
      <c r="N386" s="18">
        <f>IF(A386="","",SUMIFS(Ventas!$F:$F,Ventas!$C:$C,A386))</f>
        <v/>
      </c>
      <c r="O386" s="18">
        <f>IF(A386="","",SUMIFS(Clases!$I:$I,Clases!$C:$C,A386,Clases!$J:$J,"&lt;&gt;Reprogramada"))</f>
        <v/>
      </c>
      <c r="P386" s="18">
        <f>IF(A386="","",N386-O386)</f>
        <v/>
      </c>
      <c r="Q386" s="20">
        <f>IF(A386="","",SUMIFS(Ventas!$I:$I,Ventas!$C:$C,A386))</f>
        <v/>
      </c>
      <c r="R386" s="20">
        <f>IF(A386="","",SUMIFS(Pagos!$E:$E,Pagos!$C:$C,A386))</f>
        <v/>
      </c>
      <c r="S386" s="20">
        <f>IF(A386="","",Q386-R386)</f>
        <v/>
      </c>
    </row>
    <row r="387">
      <c r="A387" s="18">
        <f>IF(B387="","","A"&amp;TEXT(ROW()-1,"000"))</f>
        <v/>
      </c>
      <c r="I387" s="19" t="n"/>
      <c r="N387" s="18">
        <f>IF(A387="","",SUMIFS(Ventas!$F:$F,Ventas!$C:$C,A387))</f>
        <v/>
      </c>
      <c r="O387" s="18">
        <f>IF(A387="","",SUMIFS(Clases!$I:$I,Clases!$C:$C,A387,Clases!$J:$J,"&lt;&gt;Reprogramada"))</f>
        <v/>
      </c>
      <c r="P387" s="18">
        <f>IF(A387="","",N387-O387)</f>
        <v/>
      </c>
      <c r="Q387" s="20">
        <f>IF(A387="","",SUMIFS(Ventas!$I:$I,Ventas!$C:$C,A387))</f>
        <v/>
      </c>
      <c r="R387" s="20">
        <f>IF(A387="","",SUMIFS(Pagos!$E:$E,Pagos!$C:$C,A387))</f>
        <v/>
      </c>
      <c r="S387" s="20">
        <f>IF(A387="","",Q387-R387)</f>
        <v/>
      </c>
    </row>
    <row r="388">
      <c r="A388" s="18">
        <f>IF(B388="","","A"&amp;TEXT(ROW()-1,"000"))</f>
        <v/>
      </c>
      <c r="I388" s="19" t="n"/>
      <c r="N388" s="18">
        <f>IF(A388="","",SUMIFS(Ventas!$F:$F,Ventas!$C:$C,A388))</f>
        <v/>
      </c>
      <c r="O388" s="18">
        <f>IF(A388="","",SUMIFS(Clases!$I:$I,Clases!$C:$C,A388,Clases!$J:$J,"&lt;&gt;Reprogramada"))</f>
        <v/>
      </c>
      <c r="P388" s="18">
        <f>IF(A388="","",N388-O388)</f>
        <v/>
      </c>
      <c r="Q388" s="20">
        <f>IF(A388="","",SUMIFS(Ventas!$I:$I,Ventas!$C:$C,A388))</f>
        <v/>
      </c>
      <c r="R388" s="20">
        <f>IF(A388="","",SUMIFS(Pagos!$E:$E,Pagos!$C:$C,A388))</f>
        <v/>
      </c>
      <c r="S388" s="20">
        <f>IF(A388="","",Q388-R388)</f>
        <v/>
      </c>
    </row>
    <row r="389">
      <c r="A389" s="18">
        <f>IF(B389="","","A"&amp;TEXT(ROW()-1,"000"))</f>
        <v/>
      </c>
      <c r="I389" s="19" t="n"/>
      <c r="N389" s="18">
        <f>IF(A389="","",SUMIFS(Ventas!$F:$F,Ventas!$C:$C,A389))</f>
        <v/>
      </c>
      <c r="O389" s="18">
        <f>IF(A389="","",SUMIFS(Clases!$I:$I,Clases!$C:$C,A389,Clases!$J:$J,"&lt;&gt;Reprogramada"))</f>
        <v/>
      </c>
      <c r="P389" s="18">
        <f>IF(A389="","",N389-O389)</f>
        <v/>
      </c>
      <c r="Q389" s="20">
        <f>IF(A389="","",SUMIFS(Ventas!$I:$I,Ventas!$C:$C,A389))</f>
        <v/>
      </c>
      <c r="R389" s="20">
        <f>IF(A389="","",SUMIFS(Pagos!$E:$E,Pagos!$C:$C,A389))</f>
        <v/>
      </c>
      <c r="S389" s="20">
        <f>IF(A389="","",Q389-R389)</f>
        <v/>
      </c>
    </row>
    <row r="390">
      <c r="A390" s="18">
        <f>IF(B390="","","A"&amp;TEXT(ROW()-1,"000"))</f>
        <v/>
      </c>
      <c r="I390" s="19" t="n"/>
      <c r="N390" s="18">
        <f>IF(A390="","",SUMIFS(Ventas!$F:$F,Ventas!$C:$C,A390))</f>
        <v/>
      </c>
      <c r="O390" s="18">
        <f>IF(A390="","",SUMIFS(Clases!$I:$I,Clases!$C:$C,A390,Clases!$J:$J,"&lt;&gt;Reprogramada"))</f>
        <v/>
      </c>
      <c r="P390" s="18">
        <f>IF(A390="","",N390-O390)</f>
        <v/>
      </c>
      <c r="Q390" s="20">
        <f>IF(A390="","",SUMIFS(Ventas!$I:$I,Ventas!$C:$C,A390))</f>
        <v/>
      </c>
      <c r="R390" s="20">
        <f>IF(A390="","",SUMIFS(Pagos!$E:$E,Pagos!$C:$C,A390))</f>
        <v/>
      </c>
      <c r="S390" s="20">
        <f>IF(A390="","",Q390-R390)</f>
        <v/>
      </c>
    </row>
    <row r="391">
      <c r="A391" s="18">
        <f>IF(B391="","","A"&amp;TEXT(ROW()-1,"000"))</f>
        <v/>
      </c>
      <c r="I391" s="19" t="n"/>
      <c r="N391" s="18">
        <f>IF(A391="","",SUMIFS(Ventas!$F:$F,Ventas!$C:$C,A391))</f>
        <v/>
      </c>
      <c r="O391" s="18">
        <f>IF(A391="","",SUMIFS(Clases!$I:$I,Clases!$C:$C,A391,Clases!$J:$J,"&lt;&gt;Reprogramada"))</f>
        <v/>
      </c>
      <c r="P391" s="18">
        <f>IF(A391="","",N391-O391)</f>
        <v/>
      </c>
      <c r="Q391" s="20">
        <f>IF(A391="","",SUMIFS(Ventas!$I:$I,Ventas!$C:$C,A391))</f>
        <v/>
      </c>
      <c r="R391" s="20">
        <f>IF(A391="","",SUMIFS(Pagos!$E:$E,Pagos!$C:$C,A391))</f>
        <v/>
      </c>
      <c r="S391" s="20">
        <f>IF(A391="","",Q391-R391)</f>
        <v/>
      </c>
    </row>
    <row r="392">
      <c r="A392" s="18">
        <f>IF(B392="","","A"&amp;TEXT(ROW()-1,"000"))</f>
        <v/>
      </c>
      <c r="I392" s="19" t="n"/>
      <c r="N392" s="18">
        <f>IF(A392="","",SUMIFS(Ventas!$F:$F,Ventas!$C:$C,A392))</f>
        <v/>
      </c>
      <c r="O392" s="18">
        <f>IF(A392="","",SUMIFS(Clases!$I:$I,Clases!$C:$C,A392,Clases!$J:$J,"&lt;&gt;Reprogramada"))</f>
        <v/>
      </c>
      <c r="P392" s="18">
        <f>IF(A392="","",N392-O392)</f>
        <v/>
      </c>
      <c r="Q392" s="20">
        <f>IF(A392="","",SUMIFS(Ventas!$I:$I,Ventas!$C:$C,A392))</f>
        <v/>
      </c>
      <c r="R392" s="20">
        <f>IF(A392="","",SUMIFS(Pagos!$E:$E,Pagos!$C:$C,A392))</f>
        <v/>
      </c>
      <c r="S392" s="20">
        <f>IF(A392="","",Q392-R392)</f>
        <v/>
      </c>
    </row>
    <row r="393">
      <c r="A393" s="18">
        <f>IF(B393="","","A"&amp;TEXT(ROW()-1,"000"))</f>
        <v/>
      </c>
      <c r="I393" s="19" t="n"/>
      <c r="N393" s="18">
        <f>IF(A393="","",SUMIFS(Ventas!$F:$F,Ventas!$C:$C,A393))</f>
        <v/>
      </c>
      <c r="O393" s="18">
        <f>IF(A393="","",SUMIFS(Clases!$I:$I,Clases!$C:$C,A393,Clases!$J:$J,"&lt;&gt;Reprogramada"))</f>
        <v/>
      </c>
      <c r="P393" s="18">
        <f>IF(A393="","",N393-O393)</f>
        <v/>
      </c>
      <c r="Q393" s="20">
        <f>IF(A393="","",SUMIFS(Ventas!$I:$I,Ventas!$C:$C,A393))</f>
        <v/>
      </c>
      <c r="R393" s="20">
        <f>IF(A393="","",SUMIFS(Pagos!$E:$E,Pagos!$C:$C,A393))</f>
        <v/>
      </c>
      <c r="S393" s="20">
        <f>IF(A393="","",Q393-R393)</f>
        <v/>
      </c>
    </row>
    <row r="394">
      <c r="A394" s="18">
        <f>IF(B394="","","A"&amp;TEXT(ROW()-1,"000"))</f>
        <v/>
      </c>
      <c r="I394" s="19" t="n"/>
      <c r="N394" s="18">
        <f>IF(A394="","",SUMIFS(Ventas!$F:$F,Ventas!$C:$C,A394))</f>
        <v/>
      </c>
      <c r="O394" s="18">
        <f>IF(A394="","",SUMIFS(Clases!$I:$I,Clases!$C:$C,A394,Clases!$J:$J,"&lt;&gt;Reprogramada"))</f>
        <v/>
      </c>
      <c r="P394" s="18">
        <f>IF(A394="","",N394-O394)</f>
        <v/>
      </c>
      <c r="Q394" s="20">
        <f>IF(A394="","",SUMIFS(Ventas!$I:$I,Ventas!$C:$C,A394))</f>
        <v/>
      </c>
      <c r="R394" s="20">
        <f>IF(A394="","",SUMIFS(Pagos!$E:$E,Pagos!$C:$C,A394))</f>
        <v/>
      </c>
      <c r="S394" s="20">
        <f>IF(A394="","",Q394-R394)</f>
        <v/>
      </c>
    </row>
    <row r="395">
      <c r="A395" s="18">
        <f>IF(B395="","","A"&amp;TEXT(ROW()-1,"000"))</f>
        <v/>
      </c>
      <c r="I395" s="19" t="n"/>
      <c r="N395" s="18">
        <f>IF(A395="","",SUMIFS(Ventas!$F:$F,Ventas!$C:$C,A395))</f>
        <v/>
      </c>
      <c r="O395" s="18">
        <f>IF(A395="","",SUMIFS(Clases!$I:$I,Clases!$C:$C,A395,Clases!$J:$J,"&lt;&gt;Reprogramada"))</f>
        <v/>
      </c>
      <c r="P395" s="18">
        <f>IF(A395="","",N395-O395)</f>
        <v/>
      </c>
      <c r="Q395" s="20">
        <f>IF(A395="","",SUMIFS(Ventas!$I:$I,Ventas!$C:$C,A395))</f>
        <v/>
      </c>
      <c r="R395" s="20">
        <f>IF(A395="","",SUMIFS(Pagos!$E:$E,Pagos!$C:$C,A395))</f>
        <v/>
      </c>
      <c r="S395" s="20">
        <f>IF(A395="","",Q395-R395)</f>
        <v/>
      </c>
    </row>
    <row r="396">
      <c r="A396" s="18">
        <f>IF(B396="","","A"&amp;TEXT(ROW()-1,"000"))</f>
        <v/>
      </c>
      <c r="I396" s="19" t="n"/>
      <c r="N396" s="18">
        <f>IF(A396="","",SUMIFS(Ventas!$F:$F,Ventas!$C:$C,A396))</f>
        <v/>
      </c>
      <c r="O396" s="18">
        <f>IF(A396="","",SUMIFS(Clases!$I:$I,Clases!$C:$C,A396,Clases!$J:$J,"&lt;&gt;Reprogramada"))</f>
        <v/>
      </c>
      <c r="P396" s="18">
        <f>IF(A396="","",N396-O396)</f>
        <v/>
      </c>
      <c r="Q396" s="20">
        <f>IF(A396="","",SUMIFS(Ventas!$I:$I,Ventas!$C:$C,A396))</f>
        <v/>
      </c>
      <c r="R396" s="20">
        <f>IF(A396="","",SUMIFS(Pagos!$E:$E,Pagos!$C:$C,A396))</f>
        <v/>
      </c>
      <c r="S396" s="20">
        <f>IF(A396="","",Q396-R396)</f>
        <v/>
      </c>
    </row>
    <row r="397">
      <c r="A397" s="18">
        <f>IF(B397="","","A"&amp;TEXT(ROW()-1,"000"))</f>
        <v/>
      </c>
      <c r="I397" s="19" t="n"/>
      <c r="N397" s="18">
        <f>IF(A397="","",SUMIFS(Ventas!$F:$F,Ventas!$C:$C,A397))</f>
        <v/>
      </c>
      <c r="O397" s="18">
        <f>IF(A397="","",SUMIFS(Clases!$I:$I,Clases!$C:$C,A397,Clases!$J:$J,"&lt;&gt;Reprogramada"))</f>
        <v/>
      </c>
      <c r="P397" s="18">
        <f>IF(A397="","",N397-O397)</f>
        <v/>
      </c>
      <c r="Q397" s="20">
        <f>IF(A397="","",SUMIFS(Ventas!$I:$I,Ventas!$C:$C,A397))</f>
        <v/>
      </c>
      <c r="R397" s="20">
        <f>IF(A397="","",SUMIFS(Pagos!$E:$E,Pagos!$C:$C,A397))</f>
        <v/>
      </c>
      <c r="S397" s="20">
        <f>IF(A397="","",Q397-R397)</f>
        <v/>
      </c>
    </row>
    <row r="398">
      <c r="A398" s="18">
        <f>IF(B398="","","A"&amp;TEXT(ROW()-1,"000"))</f>
        <v/>
      </c>
      <c r="I398" s="19" t="n"/>
      <c r="N398" s="18">
        <f>IF(A398="","",SUMIFS(Ventas!$F:$F,Ventas!$C:$C,A398))</f>
        <v/>
      </c>
      <c r="O398" s="18">
        <f>IF(A398="","",SUMIFS(Clases!$I:$I,Clases!$C:$C,A398,Clases!$J:$J,"&lt;&gt;Reprogramada"))</f>
        <v/>
      </c>
      <c r="P398" s="18">
        <f>IF(A398="","",N398-O398)</f>
        <v/>
      </c>
      <c r="Q398" s="20">
        <f>IF(A398="","",SUMIFS(Ventas!$I:$I,Ventas!$C:$C,A398))</f>
        <v/>
      </c>
      <c r="R398" s="20">
        <f>IF(A398="","",SUMIFS(Pagos!$E:$E,Pagos!$C:$C,A398))</f>
        <v/>
      </c>
      <c r="S398" s="20">
        <f>IF(A398="","",Q398-R398)</f>
        <v/>
      </c>
    </row>
    <row r="399">
      <c r="A399" s="18">
        <f>IF(B399="","","A"&amp;TEXT(ROW()-1,"000"))</f>
        <v/>
      </c>
      <c r="I399" s="19" t="n"/>
      <c r="N399" s="18">
        <f>IF(A399="","",SUMIFS(Ventas!$F:$F,Ventas!$C:$C,A399))</f>
        <v/>
      </c>
      <c r="O399" s="18">
        <f>IF(A399="","",SUMIFS(Clases!$I:$I,Clases!$C:$C,A399,Clases!$J:$J,"&lt;&gt;Reprogramada"))</f>
        <v/>
      </c>
      <c r="P399" s="18">
        <f>IF(A399="","",N399-O399)</f>
        <v/>
      </c>
      <c r="Q399" s="20">
        <f>IF(A399="","",SUMIFS(Ventas!$I:$I,Ventas!$C:$C,A399))</f>
        <v/>
      </c>
      <c r="R399" s="20">
        <f>IF(A399="","",SUMIFS(Pagos!$E:$E,Pagos!$C:$C,A399))</f>
        <v/>
      </c>
      <c r="S399" s="20">
        <f>IF(A399="","",Q399-R399)</f>
        <v/>
      </c>
    </row>
    <row r="400">
      <c r="A400" s="18">
        <f>IF(B400="","","A"&amp;TEXT(ROW()-1,"000"))</f>
        <v/>
      </c>
      <c r="I400" s="19" t="n"/>
      <c r="N400" s="18">
        <f>IF(A400="","",SUMIFS(Ventas!$F:$F,Ventas!$C:$C,A400))</f>
        <v/>
      </c>
      <c r="O400" s="18">
        <f>IF(A400="","",SUMIFS(Clases!$I:$I,Clases!$C:$C,A400,Clases!$J:$J,"&lt;&gt;Reprogramada"))</f>
        <v/>
      </c>
      <c r="P400" s="18">
        <f>IF(A400="","",N400-O400)</f>
        <v/>
      </c>
      <c r="Q400" s="20">
        <f>IF(A400="","",SUMIFS(Ventas!$I:$I,Ventas!$C:$C,A400))</f>
        <v/>
      </c>
      <c r="R400" s="20">
        <f>IF(A400="","",SUMIFS(Pagos!$E:$E,Pagos!$C:$C,A400))</f>
        <v/>
      </c>
      <c r="S400" s="20">
        <f>IF(A400="","",Q400-R400)</f>
        <v/>
      </c>
    </row>
    <row r="401">
      <c r="A401" s="18">
        <f>IF(B401="","","A"&amp;TEXT(ROW()-1,"000"))</f>
        <v/>
      </c>
      <c r="I401" s="19" t="n"/>
      <c r="N401" s="18">
        <f>IF(A401="","",SUMIFS(Ventas!$F:$F,Ventas!$C:$C,A401))</f>
        <v/>
      </c>
      <c r="O401" s="18">
        <f>IF(A401="","",SUMIFS(Clases!$I:$I,Clases!$C:$C,A401,Clases!$J:$J,"&lt;&gt;Reprogramada"))</f>
        <v/>
      </c>
      <c r="P401" s="18">
        <f>IF(A401="","",N401-O401)</f>
        <v/>
      </c>
      <c r="Q401" s="20">
        <f>IF(A401="","",SUMIFS(Ventas!$I:$I,Ventas!$C:$C,A401))</f>
        <v/>
      </c>
      <c r="R401" s="20">
        <f>IF(A401="","",SUMIFS(Pagos!$E:$E,Pagos!$C:$C,A401))</f>
        <v/>
      </c>
      <c r="S401" s="20">
        <f>IF(A401="","",Q401-R401)</f>
        <v/>
      </c>
    </row>
    <row r="402">
      <c r="A402" s="18">
        <f>IF(B402="","","A"&amp;TEXT(ROW()-1,"000"))</f>
        <v/>
      </c>
      <c r="I402" s="19" t="n"/>
      <c r="N402" s="18">
        <f>IF(A402="","",SUMIFS(Ventas!$F:$F,Ventas!$C:$C,A402))</f>
        <v/>
      </c>
      <c r="O402" s="18">
        <f>IF(A402="","",SUMIFS(Clases!$I:$I,Clases!$C:$C,A402,Clases!$J:$J,"&lt;&gt;Reprogramada"))</f>
        <v/>
      </c>
      <c r="P402" s="18">
        <f>IF(A402="","",N402-O402)</f>
        <v/>
      </c>
      <c r="Q402" s="20">
        <f>IF(A402="","",SUMIFS(Ventas!$I:$I,Ventas!$C:$C,A402))</f>
        <v/>
      </c>
      <c r="R402" s="20">
        <f>IF(A402="","",SUMIFS(Pagos!$E:$E,Pagos!$C:$C,A402))</f>
        <v/>
      </c>
      <c r="S402" s="20">
        <f>IF(A402="","",Q402-R402)</f>
        <v/>
      </c>
    </row>
    <row r="403">
      <c r="A403" s="18">
        <f>IF(B403="","","A"&amp;TEXT(ROW()-1,"000"))</f>
        <v/>
      </c>
      <c r="I403" s="19" t="n"/>
      <c r="N403" s="18">
        <f>IF(A403="","",SUMIFS(Ventas!$F:$F,Ventas!$C:$C,A403))</f>
        <v/>
      </c>
      <c r="O403" s="18">
        <f>IF(A403="","",SUMIFS(Clases!$I:$I,Clases!$C:$C,A403,Clases!$J:$J,"&lt;&gt;Reprogramada"))</f>
        <v/>
      </c>
      <c r="P403" s="18">
        <f>IF(A403="","",N403-O403)</f>
        <v/>
      </c>
      <c r="Q403" s="20">
        <f>IF(A403="","",SUMIFS(Ventas!$I:$I,Ventas!$C:$C,A403))</f>
        <v/>
      </c>
      <c r="R403" s="20">
        <f>IF(A403="","",SUMIFS(Pagos!$E:$E,Pagos!$C:$C,A403))</f>
        <v/>
      </c>
      <c r="S403" s="20">
        <f>IF(A403="","",Q403-R403)</f>
        <v/>
      </c>
    </row>
    <row r="404">
      <c r="A404" s="18">
        <f>IF(B404="","","A"&amp;TEXT(ROW()-1,"000"))</f>
        <v/>
      </c>
      <c r="I404" s="19" t="n"/>
      <c r="N404" s="18">
        <f>IF(A404="","",SUMIFS(Ventas!$F:$F,Ventas!$C:$C,A404))</f>
        <v/>
      </c>
      <c r="O404" s="18">
        <f>IF(A404="","",SUMIFS(Clases!$I:$I,Clases!$C:$C,A404,Clases!$J:$J,"&lt;&gt;Reprogramada"))</f>
        <v/>
      </c>
      <c r="P404" s="18">
        <f>IF(A404="","",N404-O404)</f>
        <v/>
      </c>
      <c r="Q404" s="20">
        <f>IF(A404="","",SUMIFS(Ventas!$I:$I,Ventas!$C:$C,A404))</f>
        <v/>
      </c>
      <c r="R404" s="20">
        <f>IF(A404="","",SUMIFS(Pagos!$E:$E,Pagos!$C:$C,A404))</f>
        <v/>
      </c>
      <c r="S404" s="20">
        <f>IF(A404="","",Q404-R404)</f>
        <v/>
      </c>
    </row>
    <row r="405">
      <c r="A405" s="18">
        <f>IF(B405="","","A"&amp;TEXT(ROW()-1,"000"))</f>
        <v/>
      </c>
      <c r="I405" s="19" t="n"/>
      <c r="N405" s="18">
        <f>IF(A405="","",SUMIFS(Ventas!$F:$F,Ventas!$C:$C,A405))</f>
        <v/>
      </c>
      <c r="O405" s="18">
        <f>IF(A405="","",SUMIFS(Clases!$I:$I,Clases!$C:$C,A405,Clases!$J:$J,"&lt;&gt;Reprogramada"))</f>
        <v/>
      </c>
      <c r="P405" s="18">
        <f>IF(A405="","",N405-O405)</f>
        <v/>
      </c>
      <c r="Q405" s="20">
        <f>IF(A405="","",SUMIFS(Ventas!$I:$I,Ventas!$C:$C,A405))</f>
        <v/>
      </c>
      <c r="R405" s="20">
        <f>IF(A405="","",SUMIFS(Pagos!$E:$E,Pagos!$C:$C,A405))</f>
        <v/>
      </c>
      <c r="S405" s="20">
        <f>IF(A405="","",Q405-R405)</f>
        <v/>
      </c>
    </row>
    <row r="406">
      <c r="A406" s="18">
        <f>IF(B406="","","A"&amp;TEXT(ROW()-1,"000"))</f>
        <v/>
      </c>
      <c r="I406" s="19" t="n"/>
      <c r="N406" s="18">
        <f>IF(A406="","",SUMIFS(Ventas!$F:$F,Ventas!$C:$C,A406))</f>
        <v/>
      </c>
      <c r="O406" s="18">
        <f>IF(A406="","",SUMIFS(Clases!$I:$I,Clases!$C:$C,A406,Clases!$J:$J,"&lt;&gt;Reprogramada"))</f>
        <v/>
      </c>
      <c r="P406" s="18">
        <f>IF(A406="","",N406-O406)</f>
        <v/>
      </c>
      <c r="Q406" s="20">
        <f>IF(A406="","",SUMIFS(Ventas!$I:$I,Ventas!$C:$C,A406))</f>
        <v/>
      </c>
      <c r="R406" s="20">
        <f>IF(A406="","",SUMIFS(Pagos!$E:$E,Pagos!$C:$C,A406))</f>
        <v/>
      </c>
      <c r="S406" s="20">
        <f>IF(A406="","",Q406-R406)</f>
        <v/>
      </c>
    </row>
    <row r="407">
      <c r="A407" s="18">
        <f>IF(B407="","","A"&amp;TEXT(ROW()-1,"000"))</f>
        <v/>
      </c>
      <c r="I407" s="19" t="n"/>
      <c r="N407" s="18">
        <f>IF(A407="","",SUMIFS(Ventas!$F:$F,Ventas!$C:$C,A407))</f>
        <v/>
      </c>
      <c r="O407" s="18">
        <f>IF(A407="","",SUMIFS(Clases!$I:$I,Clases!$C:$C,A407,Clases!$J:$J,"&lt;&gt;Reprogramada"))</f>
        <v/>
      </c>
      <c r="P407" s="18">
        <f>IF(A407="","",N407-O407)</f>
        <v/>
      </c>
      <c r="Q407" s="20">
        <f>IF(A407="","",SUMIFS(Ventas!$I:$I,Ventas!$C:$C,A407))</f>
        <v/>
      </c>
      <c r="R407" s="20">
        <f>IF(A407="","",SUMIFS(Pagos!$E:$E,Pagos!$C:$C,A407))</f>
        <v/>
      </c>
      <c r="S407" s="20">
        <f>IF(A407="","",Q407-R407)</f>
        <v/>
      </c>
    </row>
    <row r="408">
      <c r="A408" s="18">
        <f>IF(B408="","","A"&amp;TEXT(ROW()-1,"000"))</f>
        <v/>
      </c>
      <c r="I408" s="19" t="n"/>
      <c r="N408" s="18">
        <f>IF(A408="","",SUMIFS(Ventas!$F:$F,Ventas!$C:$C,A408))</f>
        <v/>
      </c>
      <c r="O408" s="18">
        <f>IF(A408="","",SUMIFS(Clases!$I:$I,Clases!$C:$C,A408,Clases!$J:$J,"&lt;&gt;Reprogramada"))</f>
        <v/>
      </c>
      <c r="P408" s="18">
        <f>IF(A408="","",N408-O408)</f>
        <v/>
      </c>
      <c r="Q408" s="20">
        <f>IF(A408="","",SUMIFS(Ventas!$I:$I,Ventas!$C:$C,A408))</f>
        <v/>
      </c>
      <c r="R408" s="20">
        <f>IF(A408="","",SUMIFS(Pagos!$E:$E,Pagos!$C:$C,A408))</f>
        <v/>
      </c>
      <c r="S408" s="20">
        <f>IF(A408="","",Q408-R408)</f>
        <v/>
      </c>
    </row>
    <row r="409">
      <c r="A409" s="18">
        <f>IF(B409="","","A"&amp;TEXT(ROW()-1,"000"))</f>
        <v/>
      </c>
      <c r="I409" s="19" t="n"/>
      <c r="N409" s="18">
        <f>IF(A409="","",SUMIFS(Ventas!$F:$F,Ventas!$C:$C,A409))</f>
        <v/>
      </c>
      <c r="O409" s="18">
        <f>IF(A409="","",SUMIFS(Clases!$I:$I,Clases!$C:$C,A409,Clases!$J:$J,"&lt;&gt;Reprogramada"))</f>
        <v/>
      </c>
      <c r="P409" s="18">
        <f>IF(A409="","",N409-O409)</f>
        <v/>
      </c>
      <c r="Q409" s="20">
        <f>IF(A409="","",SUMIFS(Ventas!$I:$I,Ventas!$C:$C,A409))</f>
        <v/>
      </c>
      <c r="R409" s="20">
        <f>IF(A409="","",SUMIFS(Pagos!$E:$E,Pagos!$C:$C,A409))</f>
        <v/>
      </c>
      <c r="S409" s="20">
        <f>IF(A409="","",Q409-R409)</f>
        <v/>
      </c>
    </row>
    <row r="410">
      <c r="A410" s="18">
        <f>IF(B410="","","A"&amp;TEXT(ROW()-1,"000"))</f>
        <v/>
      </c>
      <c r="I410" s="19" t="n"/>
      <c r="N410" s="18">
        <f>IF(A410="","",SUMIFS(Ventas!$F:$F,Ventas!$C:$C,A410))</f>
        <v/>
      </c>
      <c r="O410" s="18">
        <f>IF(A410="","",SUMIFS(Clases!$I:$I,Clases!$C:$C,A410,Clases!$J:$J,"&lt;&gt;Reprogramada"))</f>
        <v/>
      </c>
      <c r="P410" s="18">
        <f>IF(A410="","",N410-O410)</f>
        <v/>
      </c>
      <c r="Q410" s="20">
        <f>IF(A410="","",SUMIFS(Ventas!$I:$I,Ventas!$C:$C,A410))</f>
        <v/>
      </c>
      <c r="R410" s="20">
        <f>IF(A410="","",SUMIFS(Pagos!$E:$E,Pagos!$C:$C,A410))</f>
        <v/>
      </c>
      <c r="S410" s="20">
        <f>IF(A410="","",Q410-R410)</f>
        <v/>
      </c>
    </row>
    <row r="411">
      <c r="A411" s="18">
        <f>IF(B411="","","A"&amp;TEXT(ROW()-1,"000"))</f>
        <v/>
      </c>
      <c r="I411" s="19" t="n"/>
      <c r="N411" s="18">
        <f>IF(A411="","",SUMIFS(Ventas!$F:$F,Ventas!$C:$C,A411))</f>
        <v/>
      </c>
      <c r="O411" s="18">
        <f>IF(A411="","",SUMIFS(Clases!$I:$I,Clases!$C:$C,A411,Clases!$J:$J,"&lt;&gt;Reprogramada"))</f>
        <v/>
      </c>
      <c r="P411" s="18">
        <f>IF(A411="","",N411-O411)</f>
        <v/>
      </c>
      <c r="Q411" s="20">
        <f>IF(A411="","",SUMIFS(Ventas!$I:$I,Ventas!$C:$C,A411))</f>
        <v/>
      </c>
      <c r="R411" s="20">
        <f>IF(A411="","",SUMIFS(Pagos!$E:$E,Pagos!$C:$C,A411))</f>
        <v/>
      </c>
      <c r="S411" s="20">
        <f>IF(A411="","",Q411-R411)</f>
        <v/>
      </c>
    </row>
    <row r="412">
      <c r="A412" s="18">
        <f>IF(B412="","","A"&amp;TEXT(ROW()-1,"000"))</f>
        <v/>
      </c>
      <c r="I412" s="19" t="n"/>
      <c r="N412" s="18">
        <f>IF(A412="","",SUMIFS(Ventas!$F:$F,Ventas!$C:$C,A412))</f>
        <v/>
      </c>
      <c r="O412" s="18">
        <f>IF(A412="","",SUMIFS(Clases!$I:$I,Clases!$C:$C,A412,Clases!$J:$J,"&lt;&gt;Reprogramada"))</f>
        <v/>
      </c>
      <c r="P412" s="18">
        <f>IF(A412="","",N412-O412)</f>
        <v/>
      </c>
      <c r="Q412" s="20">
        <f>IF(A412="","",SUMIFS(Ventas!$I:$I,Ventas!$C:$C,A412))</f>
        <v/>
      </c>
      <c r="R412" s="20">
        <f>IF(A412="","",SUMIFS(Pagos!$E:$E,Pagos!$C:$C,A412))</f>
        <v/>
      </c>
      <c r="S412" s="20">
        <f>IF(A412="","",Q412-R412)</f>
        <v/>
      </c>
    </row>
    <row r="413">
      <c r="A413" s="18">
        <f>IF(B413="","","A"&amp;TEXT(ROW()-1,"000"))</f>
        <v/>
      </c>
      <c r="I413" s="19" t="n"/>
      <c r="N413" s="18">
        <f>IF(A413="","",SUMIFS(Ventas!$F:$F,Ventas!$C:$C,A413))</f>
        <v/>
      </c>
      <c r="O413" s="18">
        <f>IF(A413="","",SUMIFS(Clases!$I:$I,Clases!$C:$C,A413,Clases!$J:$J,"&lt;&gt;Reprogramada"))</f>
        <v/>
      </c>
      <c r="P413" s="18">
        <f>IF(A413="","",N413-O413)</f>
        <v/>
      </c>
      <c r="Q413" s="20">
        <f>IF(A413="","",SUMIFS(Ventas!$I:$I,Ventas!$C:$C,A413))</f>
        <v/>
      </c>
      <c r="R413" s="20">
        <f>IF(A413="","",SUMIFS(Pagos!$E:$E,Pagos!$C:$C,A413))</f>
        <v/>
      </c>
      <c r="S413" s="20">
        <f>IF(A413="","",Q413-R413)</f>
        <v/>
      </c>
    </row>
    <row r="414">
      <c r="A414" s="18">
        <f>IF(B414="","","A"&amp;TEXT(ROW()-1,"000"))</f>
        <v/>
      </c>
      <c r="I414" s="19" t="n"/>
      <c r="N414" s="18">
        <f>IF(A414="","",SUMIFS(Ventas!$F:$F,Ventas!$C:$C,A414))</f>
        <v/>
      </c>
      <c r="O414" s="18">
        <f>IF(A414="","",SUMIFS(Clases!$I:$I,Clases!$C:$C,A414,Clases!$J:$J,"&lt;&gt;Reprogramada"))</f>
        <v/>
      </c>
      <c r="P414" s="18">
        <f>IF(A414="","",N414-O414)</f>
        <v/>
      </c>
      <c r="Q414" s="20">
        <f>IF(A414="","",SUMIFS(Ventas!$I:$I,Ventas!$C:$C,A414))</f>
        <v/>
      </c>
      <c r="R414" s="20">
        <f>IF(A414="","",SUMIFS(Pagos!$E:$E,Pagos!$C:$C,A414))</f>
        <v/>
      </c>
      <c r="S414" s="20">
        <f>IF(A414="","",Q414-R414)</f>
        <v/>
      </c>
    </row>
    <row r="415">
      <c r="A415" s="18">
        <f>IF(B415="","","A"&amp;TEXT(ROW()-1,"000"))</f>
        <v/>
      </c>
      <c r="I415" s="19" t="n"/>
      <c r="N415" s="18">
        <f>IF(A415="","",SUMIFS(Ventas!$F:$F,Ventas!$C:$C,A415))</f>
        <v/>
      </c>
      <c r="O415" s="18">
        <f>IF(A415="","",SUMIFS(Clases!$I:$I,Clases!$C:$C,A415,Clases!$J:$J,"&lt;&gt;Reprogramada"))</f>
        <v/>
      </c>
      <c r="P415" s="18">
        <f>IF(A415="","",N415-O415)</f>
        <v/>
      </c>
      <c r="Q415" s="20">
        <f>IF(A415="","",SUMIFS(Ventas!$I:$I,Ventas!$C:$C,A415))</f>
        <v/>
      </c>
      <c r="R415" s="20">
        <f>IF(A415="","",SUMIFS(Pagos!$E:$E,Pagos!$C:$C,A415))</f>
        <v/>
      </c>
      <c r="S415" s="20">
        <f>IF(A415="","",Q415-R415)</f>
        <v/>
      </c>
    </row>
    <row r="416">
      <c r="A416" s="18">
        <f>IF(B416="","","A"&amp;TEXT(ROW()-1,"000"))</f>
        <v/>
      </c>
      <c r="I416" s="19" t="n"/>
      <c r="N416" s="18">
        <f>IF(A416="","",SUMIFS(Ventas!$F:$F,Ventas!$C:$C,A416))</f>
        <v/>
      </c>
      <c r="O416" s="18">
        <f>IF(A416="","",SUMIFS(Clases!$I:$I,Clases!$C:$C,A416,Clases!$J:$J,"&lt;&gt;Reprogramada"))</f>
        <v/>
      </c>
      <c r="P416" s="18">
        <f>IF(A416="","",N416-O416)</f>
        <v/>
      </c>
      <c r="Q416" s="20">
        <f>IF(A416="","",SUMIFS(Ventas!$I:$I,Ventas!$C:$C,A416))</f>
        <v/>
      </c>
      <c r="R416" s="20">
        <f>IF(A416="","",SUMIFS(Pagos!$E:$E,Pagos!$C:$C,A416))</f>
        <v/>
      </c>
      <c r="S416" s="20">
        <f>IF(A416="","",Q416-R416)</f>
        <v/>
      </c>
    </row>
    <row r="417">
      <c r="A417" s="18">
        <f>IF(B417="","","A"&amp;TEXT(ROW()-1,"000"))</f>
        <v/>
      </c>
      <c r="I417" s="19" t="n"/>
      <c r="N417" s="18">
        <f>IF(A417="","",SUMIFS(Ventas!$F:$F,Ventas!$C:$C,A417))</f>
        <v/>
      </c>
      <c r="O417" s="18">
        <f>IF(A417="","",SUMIFS(Clases!$I:$I,Clases!$C:$C,A417,Clases!$J:$J,"&lt;&gt;Reprogramada"))</f>
        <v/>
      </c>
      <c r="P417" s="18">
        <f>IF(A417="","",N417-O417)</f>
        <v/>
      </c>
      <c r="Q417" s="20">
        <f>IF(A417="","",SUMIFS(Ventas!$I:$I,Ventas!$C:$C,A417))</f>
        <v/>
      </c>
      <c r="R417" s="20">
        <f>IF(A417="","",SUMIFS(Pagos!$E:$E,Pagos!$C:$C,A417))</f>
        <v/>
      </c>
      <c r="S417" s="20">
        <f>IF(A417="","",Q417-R417)</f>
        <v/>
      </c>
    </row>
    <row r="418">
      <c r="A418" s="18">
        <f>IF(B418="","","A"&amp;TEXT(ROW()-1,"000"))</f>
        <v/>
      </c>
      <c r="I418" s="19" t="n"/>
      <c r="N418" s="18">
        <f>IF(A418="","",SUMIFS(Ventas!$F:$F,Ventas!$C:$C,A418))</f>
        <v/>
      </c>
      <c r="O418" s="18">
        <f>IF(A418="","",SUMIFS(Clases!$I:$I,Clases!$C:$C,A418,Clases!$J:$J,"&lt;&gt;Reprogramada"))</f>
        <v/>
      </c>
      <c r="P418" s="18">
        <f>IF(A418="","",N418-O418)</f>
        <v/>
      </c>
      <c r="Q418" s="20">
        <f>IF(A418="","",SUMIFS(Ventas!$I:$I,Ventas!$C:$C,A418))</f>
        <v/>
      </c>
      <c r="R418" s="20">
        <f>IF(A418="","",SUMIFS(Pagos!$E:$E,Pagos!$C:$C,A418))</f>
        <v/>
      </c>
      <c r="S418" s="20">
        <f>IF(A418="","",Q418-R418)</f>
        <v/>
      </c>
    </row>
    <row r="419">
      <c r="A419" s="18">
        <f>IF(B419="","","A"&amp;TEXT(ROW()-1,"000"))</f>
        <v/>
      </c>
      <c r="I419" s="19" t="n"/>
      <c r="N419" s="18">
        <f>IF(A419="","",SUMIFS(Ventas!$F:$F,Ventas!$C:$C,A419))</f>
        <v/>
      </c>
      <c r="O419" s="18">
        <f>IF(A419="","",SUMIFS(Clases!$I:$I,Clases!$C:$C,A419,Clases!$J:$J,"&lt;&gt;Reprogramada"))</f>
        <v/>
      </c>
      <c r="P419" s="18">
        <f>IF(A419="","",N419-O419)</f>
        <v/>
      </c>
      <c r="Q419" s="20">
        <f>IF(A419="","",SUMIFS(Ventas!$I:$I,Ventas!$C:$C,A419))</f>
        <v/>
      </c>
      <c r="R419" s="20">
        <f>IF(A419="","",SUMIFS(Pagos!$E:$E,Pagos!$C:$C,A419))</f>
        <v/>
      </c>
      <c r="S419" s="20">
        <f>IF(A419="","",Q419-R419)</f>
        <v/>
      </c>
    </row>
    <row r="420">
      <c r="A420" s="18">
        <f>IF(B420="","","A"&amp;TEXT(ROW()-1,"000"))</f>
        <v/>
      </c>
      <c r="I420" s="19" t="n"/>
      <c r="N420" s="18">
        <f>IF(A420="","",SUMIFS(Ventas!$F:$F,Ventas!$C:$C,A420))</f>
        <v/>
      </c>
      <c r="O420" s="18">
        <f>IF(A420="","",SUMIFS(Clases!$I:$I,Clases!$C:$C,A420,Clases!$J:$J,"&lt;&gt;Reprogramada"))</f>
        <v/>
      </c>
      <c r="P420" s="18">
        <f>IF(A420="","",N420-O420)</f>
        <v/>
      </c>
      <c r="Q420" s="20">
        <f>IF(A420="","",SUMIFS(Ventas!$I:$I,Ventas!$C:$C,A420))</f>
        <v/>
      </c>
      <c r="R420" s="20">
        <f>IF(A420="","",SUMIFS(Pagos!$E:$E,Pagos!$C:$C,A420))</f>
        <v/>
      </c>
      <c r="S420" s="20">
        <f>IF(A420="","",Q420-R420)</f>
        <v/>
      </c>
    </row>
    <row r="421">
      <c r="A421" s="18">
        <f>IF(B421="","","A"&amp;TEXT(ROW()-1,"000"))</f>
        <v/>
      </c>
      <c r="I421" s="19" t="n"/>
      <c r="N421" s="18">
        <f>IF(A421="","",SUMIFS(Ventas!$F:$F,Ventas!$C:$C,A421))</f>
        <v/>
      </c>
      <c r="O421" s="18">
        <f>IF(A421="","",SUMIFS(Clases!$I:$I,Clases!$C:$C,A421,Clases!$J:$J,"&lt;&gt;Reprogramada"))</f>
        <v/>
      </c>
      <c r="P421" s="18">
        <f>IF(A421="","",N421-O421)</f>
        <v/>
      </c>
      <c r="Q421" s="20">
        <f>IF(A421="","",SUMIFS(Ventas!$I:$I,Ventas!$C:$C,A421))</f>
        <v/>
      </c>
      <c r="R421" s="20">
        <f>IF(A421="","",SUMIFS(Pagos!$E:$E,Pagos!$C:$C,A421))</f>
        <v/>
      </c>
      <c r="S421" s="20">
        <f>IF(A421="","",Q421-R421)</f>
        <v/>
      </c>
    </row>
    <row r="422">
      <c r="A422" s="18">
        <f>IF(B422="","","A"&amp;TEXT(ROW()-1,"000"))</f>
        <v/>
      </c>
      <c r="I422" s="19" t="n"/>
      <c r="N422" s="18">
        <f>IF(A422="","",SUMIFS(Ventas!$F:$F,Ventas!$C:$C,A422))</f>
        <v/>
      </c>
      <c r="O422" s="18">
        <f>IF(A422="","",SUMIFS(Clases!$I:$I,Clases!$C:$C,A422,Clases!$J:$J,"&lt;&gt;Reprogramada"))</f>
        <v/>
      </c>
      <c r="P422" s="18">
        <f>IF(A422="","",N422-O422)</f>
        <v/>
      </c>
      <c r="Q422" s="20">
        <f>IF(A422="","",SUMIFS(Ventas!$I:$I,Ventas!$C:$C,A422))</f>
        <v/>
      </c>
      <c r="R422" s="20">
        <f>IF(A422="","",SUMIFS(Pagos!$E:$E,Pagos!$C:$C,A422))</f>
        <v/>
      </c>
      <c r="S422" s="20">
        <f>IF(A422="","",Q422-R422)</f>
        <v/>
      </c>
    </row>
    <row r="423">
      <c r="A423" s="18">
        <f>IF(B423="","","A"&amp;TEXT(ROW()-1,"000"))</f>
        <v/>
      </c>
      <c r="I423" s="19" t="n"/>
      <c r="N423" s="18">
        <f>IF(A423="","",SUMIFS(Ventas!$F:$F,Ventas!$C:$C,A423))</f>
        <v/>
      </c>
      <c r="O423" s="18">
        <f>IF(A423="","",SUMIFS(Clases!$I:$I,Clases!$C:$C,A423,Clases!$J:$J,"&lt;&gt;Reprogramada"))</f>
        <v/>
      </c>
      <c r="P423" s="18">
        <f>IF(A423="","",N423-O423)</f>
        <v/>
      </c>
      <c r="Q423" s="20">
        <f>IF(A423="","",SUMIFS(Ventas!$I:$I,Ventas!$C:$C,A423))</f>
        <v/>
      </c>
      <c r="R423" s="20">
        <f>IF(A423="","",SUMIFS(Pagos!$E:$E,Pagos!$C:$C,A423))</f>
        <v/>
      </c>
      <c r="S423" s="20">
        <f>IF(A423="","",Q423-R423)</f>
        <v/>
      </c>
    </row>
    <row r="424">
      <c r="A424" s="18">
        <f>IF(B424="","","A"&amp;TEXT(ROW()-1,"000"))</f>
        <v/>
      </c>
      <c r="I424" s="19" t="n"/>
      <c r="N424" s="18">
        <f>IF(A424="","",SUMIFS(Ventas!$F:$F,Ventas!$C:$C,A424))</f>
        <v/>
      </c>
      <c r="O424" s="18">
        <f>IF(A424="","",SUMIFS(Clases!$I:$I,Clases!$C:$C,A424,Clases!$J:$J,"&lt;&gt;Reprogramada"))</f>
        <v/>
      </c>
      <c r="P424" s="18">
        <f>IF(A424="","",N424-O424)</f>
        <v/>
      </c>
      <c r="Q424" s="20">
        <f>IF(A424="","",SUMIFS(Ventas!$I:$I,Ventas!$C:$C,A424))</f>
        <v/>
      </c>
      <c r="R424" s="20">
        <f>IF(A424="","",SUMIFS(Pagos!$E:$E,Pagos!$C:$C,A424))</f>
        <v/>
      </c>
      <c r="S424" s="20">
        <f>IF(A424="","",Q424-R424)</f>
        <v/>
      </c>
    </row>
    <row r="425">
      <c r="A425" s="18">
        <f>IF(B425="","","A"&amp;TEXT(ROW()-1,"000"))</f>
        <v/>
      </c>
      <c r="I425" s="19" t="n"/>
      <c r="N425" s="18">
        <f>IF(A425="","",SUMIFS(Ventas!$F:$F,Ventas!$C:$C,A425))</f>
        <v/>
      </c>
      <c r="O425" s="18">
        <f>IF(A425="","",SUMIFS(Clases!$I:$I,Clases!$C:$C,A425,Clases!$J:$J,"&lt;&gt;Reprogramada"))</f>
        <v/>
      </c>
      <c r="P425" s="18">
        <f>IF(A425="","",N425-O425)</f>
        <v/>
      </c>
      <c r="Q425" s="20">
        <f>IF(A425="","",SUMIFS(Ventas!$I:$I,Ventas!$C:$C,A425))</f>
        <v/>
      </c>
      <c r="R425" s="20">
        <f>IF(A425="","",SUMIFS(Pagos!$E:$E,Pagos!$C:$C,A425))</f>
        <v/>
      </c>
      <c r="S425" s="20">
        <f>IF(A425="","",Q425-R425)</f>
        <v/>
      </c>
    </row>
    <row r="426">
      <c r="A426" s="18">
        <f>IF(B426="","","A"&amp;TEXT(ROW()-1,"000"))</f>
        <v/>
      </c>
      <c r="I426" s="19" t="n"/>
      <c r="N426" s="18">
        <f>IF(A426="","",SUMIFS(Ventas!$F:$F,Ventas!$C:$C,A426))</f>
        <v/>
      </c>
      <c r="O426" s="18">
        <f>IF(A426="","",SUMIFS(Clases!$I:$I,Clases!$C:$C,A426,Clases!$J:$J,"&lt;&gt;Reprogramada"))</f>
        <v/>
      </c>
      <c r="P426" s="18">
        <f>IF(A426="","",N426-O426)</f>
        <v/>
      </c>
      <c r="Q426" s="20">
        <f>IF(A426="","",SUMIFS(Ventas!$I:$I,Ventas!$C:$C,A426))</f>
        <v/>
      </c>
      <c r="R426" s="20">
        <f>IF(A426="","",SUMIFS(Pagos!$E:$E,Pagos!$C:$C,A426))</f>
        <v/>
      </c>
      <c r="S426" s="20">
        <f>IF(A426="","",Q426-R426)</f>
        <v/>
      </c>
    </row>
    <row r="427">
      <c r="A427" s="18">
        <f>IF(B427="","","A"&amp;TEXT(ROW()-1,"000"))</f>
        <v/>
      </c>
      <c r="I427" s="19" t="n"/>
      <c r="N427" s="18">
        <f>IF(A427="","",SUMIFS(Ventas!$F:$F,Ventas!$C:$C,A427))</f>
        <v/>
      </c>
      <c r="O427" s="18">
        <f>IF(A427="","",SUMIFS(Clases!$I:$I,Clases!$C:$C,A427,Clases!$J:$J,"&lt;&gt;Reprogramada"))</f>
        <v/>
      </c>
      <c r="P427" s="18">
        <f>IF(A427="","",N427-O427)</f>
        <v/>
      </c>
      <c r="Q427" s="20">
        <f>IF(A427="","",SUMIFS(Ventas!$I:$I,Ventas!$C:$C,A427))</f>
        <v/>
      </c>
      <c r="R427" s="20">
        <f>IF(A427="","",SUMIFS(Pagos!$E:$E,Pagos!$C:$C,A427))</f>
        <v/>
      </c>
      <c r="S427" s="20">
        <f>IF(A427="","",Q427-R427)</f>
        <v/>
      </c>
    </row>
    <row r="428">
      <c r="A428" s="18">
        <f>IF(B428="","","A"&amp;TEXT(ROW()-1,"000"))</f>
        <v/>
      </c>
      <c r="I428" s="19" t="n"/>
      <c r="N428" s="18">
        <f>IF(A428="","",SUMIFS(Ventas!$F:$F,Ventas!$C:$C,A428))</f>
        <v/>
      </c>
      <c r="O428" s="18">
        <f>IF(A428="","",SUMIFS(Clases!$I:$I,Clases!$C:$C,A428,Clases!$J:$J,"&lt;&gt;Reprogramada"))</f>
        <v/>
      </c>
      <c r="P428" s="18">
        <f>IF(A428="","",N428-O428)</f>
        <v/>
      </c>
      <c r="Q428" s="20">
        <f>IF(A428="","",SUMIFS(Ventas!$I:$I,Ventas!$C:$C,A428))</f>
        <v/>
      </c>
      <c r="R428" s="20">
        <f>IF(A428="","",SUMIFS(Pagos!$E:$E,Pagos!$C:$C,A428))</f>
        <v/>
      </c>
      <c r="S428" s="20">
        <f>IF(A428="","",Q428-R428)</f>
        <v/>
      </c>
    </row>
    <row r="429">
      <c r="A429" s="18">
        <f>IF(B429="","","A"&amp;TEXT(ROW()-1,"000"))</f>
        <v/>
      </c>
      <c r="I429" s="19" t="n"/>
      <c r="N429" s="18">
        <f>IF(A429="","",SUMIFS(Ventas!$F:$F,Ventas!$C:$C,A429))</f>
        <v/>
      </c>
      <c r="O429" s="18">
        <f>IF(A429="","",SUMIFS(Clases!$I:$I,Clases!$C:$C,A429,Clases!$J:$J,"&lt;&gt;Reprogramada"))</f>
        <v/>
      </c>
      <c r="P429" s="18">
        <f>IF(A429="","",N429-O429)</f>
        <v/>
      </c>
      <c r="Q429" s="20">
        <f>IF(A429="","",SUMIFS(Ventas!$I:$I,Ventas!$C:$C,A429))</f>
        <v/>
      </c>
      <c r="R429" s="20">
        <f>IF(A429="","",SUMIFS(Pagos!$E:$E,Pagos!$C:$C,A429))</f>
        <v/>
      </c>
      <c r="S429" s="20">
        <f>IF(A429="","",Q429-R429)</f>
        <v/>
      </c>
    </row>
    <row r="430">
      <c r="A430" s="18">
        <f>IF(B430="","","A"&amp;TEXT(ROW()-1,"000"))</f>
        <v/>
      </c>
      <c r="I430" s="19" t="n"/>
      <c r="N430" s="18">
        <f>IF(A430="","",SUMIFS(Ventas!$F:$F,Ventas!$C:$C,A430))</f>
        <v/>
      </c>
      <c r="O430" s="18">
        <f>IF(A430="","",SUMIFS(Clases!$I:$I,Clases!$C:$C,A430,Clases!$J:$J,"&lt;&gt;Reprogramada"))</f>
        <v/>
      </c>
      <c r="P430" s="18">
        <f>IF(A430="","",N430-O430)</f>
        <v/>
      </c>
      <c r="Q430" s="20">
        <f>IF(A430="","",SUMIFS(Ventas!$I:$I,Ventas!$C:$C,A430))</f>
        <v/>
      </c>
      <c r="R430" s="20">
        <f>IF(A430="","",SUMIFS(Pagos!$E:$E,Pagos!$C:$C,A430))</f>
        <v/>
      </c>
      <c r="S430" s="20">
        <f>IF(A430="","",Q430-R430)</f>
        <v/>
      </c>
    </row>
    <row r="431">
      <c r="A431" s="18">
        <f>IF(B431="","","A"&amp;TEXT(ROW()-1,"000"))</f>
        <v/>
      </c>
      <c r="I431" s="19" t="n"/>
      <c r="N431" s="18">
        <f>IF(A431="","",SUMIFS(Ventas!$F:$F,Ventas!$C:$C,A431))</f>
        <v/>
      </c>
      <c r="O431" s="18">
        <f>IF(A431="","",SUMIFS(Clases!$I:$I,Clases!$C:$C,A431,Clases!$J:$J,"&lt;&gt;Reprogramada"))</f>
        <v/>
      </c>
      <c r="P431" s="18">
        <f>IF(A431="","",N431-O431)</f>
        <v/>
      </c>
      <c r="Q431" s="20">
        <f>IF(A431="","",SUMIFS(Ventas!$I:$I,Ventas!$C:$C,A431))</f>
        <v/>
      </c>
      <c r="R431" s="20">
        <f>IF(A431="","",SUMIFS(Pagos!$E:$E,Pagos!$C:$C,A431))</f>
        <v/>
      </c>
      <c r="S431" s="20">
        <f>IF(A431="","",Q431-R431)</f>
        <v/>
      </c>
    </row>
    <row r="432">
      <c r="A432" s="18">
        <f>IF(B432="","","A"&amp;TEXT(ROW()-1,"000"))</f>
        <v/>
      </c>
      <c r="I432" s="19" t="n"/>
      <c r="N432" s="18">
        <f>IF(A432="","",SUMIFS(Ventas!$F:$F,Ventas!$C:$C,A432))</f>
        <v/>
      </c>
      <c r="O432" s="18">
        <f>IF(A432="","",SUMIFS(Clases!$I:$I,Clases!$C:$C,A432,Clases!$J:$J,"&lt;&gt;Reprogramada"))</f>
        <v/>
      </c>
      <c r="P432" s="18">
        <f>IF(A432="","",N432-O432)</f>
        <v/>
      </c>
      <c r="Q432" s="20">
        <f>IF(A432="","",SUMIFS(Ventas!$I:$I,Ventas!$C:$C,A432))</f>
        <v/>
      </c>
      <c r="R432" s="20">
        <f>IF(A432="","",SUMIFS(Pagos!$E:$E,Pagos!$C:$C,A432))</f>
        <v/>
      </c>
      <c r="S432" s="20">
        <f>IF(A432="","",Q432-R432)</f>
        <v/>
      </c>
    </row>
    <row r="433">
      <c r="A433" s="18">
        <f>IF(B433="","","A"&amp;TEXT(ROW()-1,"000"))</f>
        <v/>
      </c>
      <c r="I433" s="19" t="n"/>
      <c r="N433" s="18">
        <f>IF(A433="","",SUMIFS(Ventas!$F:$F,Ventas!$C:$C,A433))</f>
        <v/>
      </c>
      <c r="O433" s="18">
        <f>IF(A433="","",SUMIFS(Clases!$I:$I,Clases!$C:$C,A433,Clases!$J:$J,"&lt;&gt;Reprogramada"))</f>
        <v/>
      </c>
      <c r="P433" s="18">
        <f>IF(A433="","",N433-O433)</f>
        <v/>
      </c>
      <c r="Q433" s="20">
        <f>IF(A433="","",SUMIFS(Ventas!$I:$I,Ventas!$C:$C,A433))</f>
        <v/>
      </c>
      <c r="R433" s="20">
        <f>IF(A433="","",SUMIFS(Pagos!$E:$E,Pagos!$C:$C,A433))</f>
        <v/>
      </c>
      <c r="S433" s="20">
        <f>IF(A433="","",Q433-R433)</f>
        <v/>
      </c>
    </row>
    <row r="434">
      <c r="A434" s="18">
        <f>IF(B434="","","A"&amp;TEXT(ROW()-1,"000"))</f>
        <v/>
      </c>
      <c r="I434" s="19" t="n"/>
      <c r="N434" s="18">
        <f>IF(A434="","",SUMIFS(Ventas!$F:$F,Ventas!$C:$C,A434))</f>
        <v/>
      </c>
      <c r="O434" s="18">
        <f>IF(A434="","",SUMIFS(Clases!$I:$I,Clases!$C:$C,A434,Clases!$J:$J,"&lt;&gt;Reprogramada"))</f>
        <v/>
      </c>
      <c r="P434" s="18">
        <f>IF(A434="","",N434-O434)</f>
        <v/>
      </c>
      <c r="Q434" s="20">
        <f>IF(A434="","",SUMIFS(Ventas!$I:$I,Ventas!$C:$C,A434))</f>
        <v/>
      </c>
      <c r="R434" s="20">
        <f>IF(A434="","",SUMIFS(Pagos!$E:$E,Pagos!$C:$C,A434))</f>
        <v/>
      </c>
      <c r="S434" s="20">
        <f>IF(A434="","",Q434-R434)</f>
        <v/>
      </c>
    </row>
    <row r="435">
      <c r="A435" s="18">
        <f>IF(B435="","","A"&amp;TEXT(ROW()-1,"000"))</f>
        <v/>
      </c>
      <c r="I435" s="19" t="n"/>
      <c r="N435" s="18">
        <f>IF(A435="","",SUMIFS(Ventas!$F:$F,Ventas!$C:$C,A435))</f>
        <v/>
      </c>
      <c r="O435" s="18">
        <f>IF(A435="","",SUMIFS(Clases!$I:$I,Clases!$C:$C,A435,Clases!$J:$J,"&lt;&gt;Reprogramada"))</f>
        <v/>
      </c>
      <c r="P435" s="18">
        <f>IF(A435="","",N435-O435)</f>
        <v/>
      </c>
      <c r="Q435" s="20">
        <f>IF(A435="","",SUMIFS(Ventas!$I:$I,Ventas!$C:$C,A435))</f>
        <v/>
      </c>
      <c r="R435" s="20">
        <f>IF(A435="","",SUMIFS(Pagos!$E:$E,Pagos!$C:$C,A435))</f>
        <v/>
      </c>
      <c r="S435" s="20">
        <f>IF(A435="","",Q435-R435)</f>
        <v/>
      </c>
    </row>
    <row r="436">
      <c r="A436" s="18">
        <f>IF(B436="","","A"&amp;TEXT(ROW()-1,"000"))</f>
        <v/>
      </c>
      <c r="I436" s="19" t="n"/>
      <c r="N436" s="18">
        <f>IF(A436="","",SUMIFS(Ventas!$F:$F,Ventas!$C:$C,A436))</f>
        <v/>
      </c>
      <c r="O436" s="18">
        <f>IF(A436="","",SUMIFS(Clases!$I:$I,Clases!$C:$C,A436,Clases!$J:$J,"&lt;&gt;Reprogramada"))</f>
        <v/>
      </c>
      <c r="P436" s="18">
        <f>IF(A436="","",N436-O436)</f>
        <v/>
      </c>
      <c r="Q436" s="20">
        <f>IF(A436="","",SUMIFS(Ventas!$I:$I,Ventas!$C:$C,A436))</f>
        <v/>
      </c>
      <c r="R436" s="20">
        <f>IF(A436="","",SUMIFS(Pagos!$E:$E,Pagos!$C:$C,A436))</f>
        <v/>
      </c>
      <c r="S436" s="20">
        <f>IF(A436="","",Q436-R436)</f>
        <v/>
      </c>
    </row>
    <row r="437">
      <c r="A437" s="18">
        <f>IF(B437="","","A"&amp;TEXT(ROW()-1,"000"))</f>
        <v/>
      </c>
      <c r="I437" s="19" t="n"/>
      <c r="N437" s="18">
        <f>IF(A437="","",SUMIFS(Ventas!$F:$F,Ventas!$C:$C,A437))</f>
        <v/>
      </c>
      <c r="O437" s="18">
        <f>IF(A437="","",SUMIFS(Clases!$I:$I,Clases!$C:$C,A437,Clases!$J:$J,"&lt;&gt;Reprogramada"))</f>
        <v/>
      </c>
      <c r="P437" s="18">
        <f>IF(A437="","",N437-O437)</f>
        <v/>
      </c>
      <c r="Q437" s="20">
        <f>IF(A437="","",SUMIFS(Ventas!$I:$I,Ventas!$C:$C,A437))</f>
        <v/>
      </c>
      <c r="R437" s="20">
        <f>IF(A437="","",SUMIFS(Pagos!$E:$E,Pagos!$C:$C,A437))</f>
        <v/>
      </c>
      <c r="S437" s="20">
        <f>IF(A437="","",Q437-R437)</f>
        <v/>
      </c>
    </row>
    <row r="438">
      <c r="A438" s="18">
        <f>IF(B438="","","A"&amp;TEXT(ROW()-1,"000"))</f>
        <v/>
      </c>
      <c r="I438" s="19" t="n"/>
      <c r="N438" s="18">
        <f>IF(A438="","",SUMIFS(Ventas!$F:$F,Ventas!$C:$C,A438))</f>
        <v/>
      </c>
      <c r="O438" s="18">
        <f>IF(A438="","",SUMIFS(Clases!$I:$I,Clases!$C:$C,A438,Clases!$J:$J,"&lt;&gt;Reprogramada"))</f>
        <v/>
      </c>
      <c r="P438" s="18">
        <f>IF(A438="","",N438-O438)</f>
        <v/>
      </c>
      <c r="Q438" s="20">
        <f>IF(A438="","",SUMIFS(Ventas!$I:$I,Ventas!$C:$C,A438))</f>
        <v/>
      </c>
      <c r="R438" s="20">
        <f>IF(A438="","",SUMIFS(Pagos!$E:$E,Pagos!$C:$C,A438))</f>
        <v/>
      </c>
      <c r="S438" s="20">
        <f>IF(A438="","",Q438-R438)</f>
        <v/>
      </c>
    </row>
    <row r="439">
      <c r="A439" s="18">
        <f>IF(B439="","","A"&amp;TEXT(ROW()-1,"000"))</f>
        <v/>
      </c>
      <c r="I439" s="19" t="n"/>
      <c r="N439" s="18">
        <f>IF(A439="","",SUMIFS(Ventas!$F:$F,Ventas!$C:$C,A439))</f>
        <v/>
      </c>
      <c r="O439" s="18">
        <f>IF(A439="","",SUMIFS(Clases!$I:$I,Clases!$C:$C,A439,Clases!$J:$J,"&lt;&gt;Reprogramada"))</f>
        <v/>
      </c>
      <c r="P439" s="18">
        <f>IF(A439="","",N439-O439)</f>
        <v/>
      </c>
      <c r="Q439" s="20">
        <f>IF(A439="","",SUMIFS(Ventas!$I:$I,Ventas!$C:$C,A439))</f>
        <v/>
      </c>
      <c r="R439" s="20">
        <f>IF(A439="","",SUMIFS(Pagos!$E:$E,Pagos!$C:$C,A439))</f>
        <v/>
      </c>
      <c r="S439" s="20">
        <f>IF(A439="","",Q439-R439)</f>
        <v/>
      </c>
    </row>
    <row r="440">
      <c r="A440" s="18">
        <f>IF(B440="","","A"&amp;TEXT(ROW()-1,"000"))</f>
        <v/>
      </c>
      <c r="I440" s="19" t="n"/>
      <c r="N440" s="18">
        <f>IF(A440="","",SUMIFS(Ventas!$F:$F,Ventas!$C:$C,A440))</f>
        <v/>
      </c>
      <c r="O440" s="18">
        <f>IF(A440="","",SUMIFS(Clases!$I:$I,Clases!$C:$C,A440,Clases!$J:$J,"&lt;&gt;Reprogramada"))</f>
        <v/>
      </c>
      <c r="P440" s="18">
        <f>IF(A440="","",N440-O440)</f>
        <v/>
      </c>
      <c r="Q440" s="20">
        <f>IF(A440="","",SUMIFS(Ventas!$I:$I,Ventas!$C:$C,A440))</f>
        <v/>
      </c>
      <c r="R440" s="20">
        <f>IF(A440="","",SUMIFS(Pagos!$E:$E,Pagos!$C:$C,A440))</f>
        <v/>
      </c>
      <c r="S440" s="20">
        <f>IF(A440="","",Q440-R440)</f>
        <v/>
      </c>
    </row>
    <row r="441">
      <c r="A441" s="18">
        <f>IF(B441="","","A"&amp;TEXT(ROW()-1,"000"))</f>
        <v/>
      </c>
      <c r="I441" s="19" t="n"/>
      <c r="N441" s="18">
        <f>IF(A441="","",SUMIFS(Ventas!$F:$F,Ventas!$C:$C,A441))</f>
        <v/>
      </c>
      <c r="O441" s="18">
        <f>IF(A441="","",SUMIFS(Clases!$I:$I,Clases!$C:$C,A441,Clases!$J:$J,"&lt;&gt;Reprogramada"))</f>
        <v/>
      </c>
      <c r="P441" s="18">
        <f>IF(A441="","",N441-O441)</f>
        <v/>
      </c>
      <c r="Q441" s="20">
        <f>IF(A441="","",SUMIFS(Ventas!$I:$I,Ventas!$C:$C,A441))</f>
        <v/>
      </c>
      <c r="R441" s="20">
        <f>IF(A441="","",SUMIFS(Pagos!$E:$E,Pagos!$C:$C,A441))</f>
        <v/>
      </c>
      <c r="S441" s="20">
        <f>IF(A441="","",Q441-R441)</f>
        <v/>
      </c>
    </row>
    <row r="442">
      <c r="A442" s="18">
        <f>IF(B442="","","A"&amp;TEXT(ROW()-1,"000"))</f>
        <v/>
      </c>
      <c r="I442" s="19" t="n"/>
      <c r="N442" s="18">
        <f>IF(A442="","",SUMIFS(Ventas!$F:$F,Ventas!$C:$C,A442))</f>
        <v/>
      </c>
      <c r="O442" s="18">
        <f>IF(A442="","",SUMIFS(Clases!$I:$I,Clases!$C:$C,A442,Clases!$J:$J,"&lt;&gt;Reprogramada"))</f>
        <v/>
      </c>
      <c r="P442" s="18">
        <f>IF(A442="","",N442-O442)</f>
        <v/>
      </c>
      <c r="Q442" s="20">
        <f>IF(A442="","",SUMIFS(Ventas!$I:$I,Ventas!$C:$C,A442))</f>
        <v/>
      </c>
      <c r="R442" s="20">
        <f>IF(A442="","",SUMIFS(Pagos!$E:$E,Pagos!$C:$C,A442))</f>
        <v/>
      </c>
      <c r="S442" s="20">
        <f>IF(A442="","",Q442-R442)</f>
        <v/>
      </c>
    </row>
    <row r="443">
      <c r="A443" s="18">
        <f>IF(B443="","","A"&amp;TEXT(ROW()-1,"000"))</f>
        <v/>
      </c>
      <c r="I443" s="19" t="n"/>
      <c r="N443" s="18">
        <f>IF(A443="","",SUMIFS(Ventas!$F:$F,Ventas!$C:$C,A443))</f>
        <v/>
      </c>
      <c r="O443" s="18">
        <f>IF(A443="","",SUMIFS(Clases!$I:$I,Clases!$C:$C,A443,Clases!$J:$J,"&lt;&gt;Reprogramada"))</f>
        <v/>
      </c>
      <c r="P443" s="18">
        <f>IF(A443="","",N443-O443)</f>
        <v/>
      </c>
      <c r="Q443" s="20">
        <f>IF(A443="","",SUMIFS(Ventas!$I:$I,Ventas!$C:$C,A443))</f>
        <v/>
      </c>
      <c r="R443" s="20">
        <f>IF(A443="","",SUMIFS(Pagos!$E:$E,Pagos!$C:$C,A443))</f>
        <v/>
      </c>
      <c r="S443" s="20">
        <f>IF(A443="","",Q443-R443)</f>
        <v/>
      </c>
    </row>
    <row r="444">
      <c r="A444" s="18">
        <f>IF(B444="","","A"&amp;TEXT(ROW()-1,"000"))</f>
        <v/>
      </c>
      <c r="I444" s="19" t="n"/>
      <c r="N444" s="18">
        <f>IF(A444="","",SUMIFS(Ventas!$F:$F,Ventas!$C:$C,A444))</f>
        <v/>
      </c>
      <c r="O444" s="18">
        <f>IF(A444="","",SUMIFS(Clases!$I:$I,Clases!$C:$C,A444,Clases!$J:$J,"&lt;&gt;Reprogramada"))</f>
        <v/>
      </c>
      <c r="P444" s="18">
        <f>IF(A444="","",N444-O444)</f>
        <v/>
      </c>
      <c r="Q444" s="20">
        <f>IF(A444="","",SUMIFS(Ventas!$I:$I,Ventas!$C:$C,A444))</f>
        <v/>
      </c>
      <c r="R444" s="20">
        <f>IF(A444="","",SUMIFS(Pagos!$E:$E,Pagos!$C:$C,A444))</f>
        <v/>
      </c>
      <c r="S444" s="20">
        <f>IF(A444="","",Q444-R444)</f>
        <v/>
      </c>
    </row>
    <row r="445">
      <c r="A445" s="18">
        <f>IF(B445="","","A"&amp;TEXT(ROW()-1,"000"))</f>
        <v/>
      </c>
      <c r="I445" s="19" t="n"/>
      <c r="N445" s="18">
        <f>IF(A445="","",SUMIFS(Ventas!$F:$F,Ventas!$C:$C,A445))</f>
        <v/>
      </c>
      <c r="O445" s="18">
        <f>IF(A445="","",SUMIFS(Clases!$I:$I,Clases!$C:$C,A445,Clases!$J:$J,"&lt;&gt;Reprogramada"))</f>
        <v/>
      </c>
      <c r="P445" s="18">
        <f>IF(A445="","",N445-O445)</f>
        <v/>
      </c>
      <c r="Q445" s="20">
        <f>IF(A445="","",SUMIFS(Ventas!$I:$I,Ventas!$C:$C,A445))</f>
        <v/>
      </c>
      <c r="R445" s="20">
        <f>IF(A445="","",SUMIFS(Pagos!$E:$E,Pagos!$C:$C,A445))</f>
        <v/>
      </c>
      <c r="S445" s="20">
        <f>IF(A445="","",Q445-R445)</f>
        <v/>
      </c>
    </row>
    <row r="446">
      <c r="A446" s="18">
        <f>IF(B446="","","A"&amp;TEXT(ROW()-1,"000"))</f>
        <v/>
      </c>
      <c r="I446" s="19" t="n"/>
      <c r="N446" s="18">
        <f>IF(A446="","",SUMIFS(Ventas!$F:$F,Ventas!$C:$C,A446))</f>
        <v/>
      </c>
      <c r="O446" s="18">
        <f>IF(A446="","",SUMIFS(Clases!$I:$I,Clases!$C:$C,A446,Clases!$J:$J,"&lt;&gt;Reprogramada"))</f>
        <v/>
      </c>
      <c r="P446" s="18">
        <f>IF(A446="","",N446-O446)</f>
        <v/>
      </c>
      <c r="Q446" s="20">
        <f>IF(A446="","",SUMIFS(Ventas!$I:$I,Ventas!$C:$C,A446))</f>
        <v/>
      </c>
      <c r="R446" s="20">
        <f>IF(A446="","",SUMIFS(Pagos!$E:$E,Pagos!$C:$C,A446))</f>
        <v/>
      </c>
      <c r="S446" s="20">
        <f>IF(A446="","",Q446-R446)</f>
        <v/>
      </c>
    </row>
    <row r="447">
      <c r="A447" s="18">
        <f>IF(B447="","","A"&amp;TEXT(ROW()-1,"000"))</f>
        <v/>
      </c>
      <c r="I447" s="19" t="n"/>
      <c r="N447" s="18">
        <f>IF(A447="","",SUMIFS(Ventas!$F:$F,Ventas!$C:$C,A447))</f>
        <v/>
      </c>
      <c r="O447" s="18">
        <f>IF(A447="","",SUMIFS(Clases!$I:$I,Clases!$C:$C,A447,Clases!$J:$J,"&lt;&gt;Reprogramada"))</f>
        <v/>
      </c>
      <c r="P447" s="18">
        <f>IF(A447="","",N447-O447)</f>
        <v/>
      </c>
      <c r="Q447" s="20">
        <f>IF(A447="","",SUMIFS(Ventas!$I:$I,Ventas!$C:$C,A447))</f>
        <v/>
      </c>
      <c r="R447" s="20">
        <f>IF(A447="","",SUMIFS(Pagos!$E:$E,Pagos!$C:$C,A447))</f>
        <v/>
      </c>
      <c r="S447" s="20">
        <f>IF(A447="","",Q447-R447)</f>
        <v/>
      </c>
    </row>
    <row r="448">
      <c r="A448" s="18">
        <f>IF(B448="","","A"&amp;TEXT(ROW()-1,"000"))</f>
        <v/>
      </c>
      <c r="I448" s="19" t="n"/>
      <c r="N448" s="18">
        <f>IF(A448="","",SUMIFS(Ventas!$F:$F,Ventas!$C:$C,A448))</f>
        <v/>
      </c>
      <c r="O448" s="18">
        <f>IF(A448="","",SUMIFS(Clases!$I:$I,Clases!$C:$C,A448,Clases!$J:$J,"&lt;&gt;Reprogramada"))</f>
        <v/>
      </c>
      <c r="P448" s="18">
        <f>IF(A448="","",N448-O448)</f>
        <v/>
      </c>
      <c r="Q448" s="20">
        <f>IF(A448="","",SUMIFS(Ventas!$I:$I,Ventas!$C:$C,A448))</f>
        <v/>
      </c>
      <c r="R448" s="20">
        <f>IF(A448="","",SUMIFS(Pagos!$E:$E,Pagos!$C:$C,A448))</f>
        <v/>
      </c>
      <c r="S448" s="20">
        <f>IF(A448="","",Q448-R448)</f>
        <v/>
      </c>
    </row>
    <row r="449">
      <c r="A449" s="18">
        <f>IF(B449="","","A"&amp;TEXT(ROW()-1,"000"))</f>
        <v/>
      </c>
      <c r="I449" s="19" t="n"/>
      <c r="N449" s="18">
        <f>IF(A449="","",SUMIFS(Ventas!$F:$F,Ventas!$C:$C,A449))</f>
        <v/>
      </c>
      <c r="O449" s="18">
        <f>IF(A449="","",SUMIFS(Clases!$I:$I,Clases!$C:$C,A449,Clases!$J:$J,"&lt;&gt;Reprogramada"))</f>
        <v/>
      </c>
      <c r="P449" s="18">
        <f>IF(A449="","",N449-O449)</f>
        <v/>
      </c>
      <c r="Q449" s="20">
        <f>IF(A449="","",SUMIFS(Ventas!$I:$I,Ventas!$C:$C,A449))</f>
        <v/>
      </c>
      <c r="R449" s="20">
        <f>IF(A449="","",SUMIFS(Pagos!$E:$E,Pagos!$C:$C,A449))</f>
        <v/>
      </c>
      <c r="S449" s="20">
        <f>IF(A449="","",Q449-R449)</f>
        <v/>
      </c>
    </row>
    <row r="450">
      <c r="A450" s="18">
        <f>IF(B450="","","A"&amp;TEXT(ROW()-1,"000"))</f>
        <v/>
      </c>
      <c r="I450" s="19" t="n"/>
      <c r="N450" s="18">
        <f>IF(A450="","",SUMIFS(Ventas!$F:$F,Ventas!$C:$C,A450))</f>
        <v/>
      </c>
      <c r="O450" s="18">
        <f>IF(A450="","",SUMIFS(Clases!$I:$I,Clases!$C:$C,A450,Clases!$J:$J,"&lt;&gt;Reprogramada"))</f>
        <v/>
      </c>
      <c r="P450" s="18">
        <f>IF(A450="","",N450-O450)</f>
        <v/>
      </c>
      <c r="Q450" s="20">
        <f>IF(A450="","",SUMIFS(Ventas!$I:$I,Ventas!$C:$C,A450))</f>
        <v/>
      </c>
      <c r="R450" s="20">
        <f>IF(A450="","",SUMIFS(Pagos!$E:$E,Pagos!$C:$C,A450))</f>
        <v/>
      </c>
      <c r="S450" s="20">
        <f>IF(A450="","",Q450-R450)</f>
        <v/>
      </c>
    </row>
    <row r="451">
      <c r="A451" s="18">
        <f>IF(B451="","","A"&amp;TEXT(ROW()-1,"000"))</f>
        <v/>
      </c>
      <c r="I451" s="19" t="n"/>
      <c r="N451" s="18">
        <f>IF(A451="","",SUMIFS(Ventas!$F:$F,Ventas!$C:$C,A451))</f>
        <v/>
      </c>
      <c r="O451" s="18">
        <f>IF(A451="","",SUMIFS(Clases!$I:$I,Clases!$C:$C,A451,Clases!$J:$J,"&lt;&gt;Reprogramada"))</f>
        <v/>
      </c>
      <c r="P451" s="18">
        <f>IF(A451="","",N451-O451)</f>
        <v/>
      </c>
      <c r="Q451" s="20">
        <f>IF(A451="","",SUMIFS(Ventas!$I:$I,Ventas!$C:$C,A451))</f>
        <v/>
      </c>
      <c r="R451" s="20">
        <f>IF(A451="","",SUMIFS(Pagos!$E:$E,Pagos!$C:$C,A451))</f>
        <v/>
      </c>
      <c r="S451" s="20">
        <f>IF(A451="","",Q451-R451)</f>
        <v/>
      </c>
    </row>
    <row r="452">
      <c r="A452" s="18">
        <f>IF(B452="","","A"&amp;TEXT(ROW()-1,"000"))</f>
        <v/>
      </c>
      <c r="I452" s="19" t="n"/>
      <c r="N452" s="18">
        <f>IF(A452="","",SUMIFS(Ventas!$F:$F,Ventas!$C:$C,A452))</f>
        <v/>
      </c>
      <c r="O452" s="18">
        <f>IF(A452="","",SUMIFS(Clases!$I:$I,Clases!$C:$C,A452,Clases!$J:$J,"&lt;&gt;Reprogramada"))</f>
        <v/>
      </c>
      <c r="P452" s="18">
        <f>IF(A452="","",N452-O452)</f>
        <v/>
      </c>
      <c r="Q452" s="20">
        <f>IF(A452="","",SUMIFS(Ventas!$I:$I,Ventas!$C:$C,A452))</f>
        <v/>
      </c>
      <c r="R452" s="20">
        <f>IF(A452="","",SUMIFS(Pagos!$E:$E,Pagos!$C:$C,A452))</f>
        <v/>
      </c>
      <c r="S452" s="20">
        <f>IF(A452="","",Q452-R452)</f>
        <v/>
      </c>
    </row>
    <row r="453">
      <c r="A453" s="18">
        <f>IF(B453="","","A"&amp;TEXT(ROW()-1,"000"))</f>
        <v/>
      </c>
      <c r="I453" s="19" t="n"/>
      <c r="N453" s="18">
        <f>IF(A453="","",SUMIFS(Ventas!$F:$F,Ventas!$C:$C,A453))</f>
        <v/>
      </c>
      <c r="O453" s="18">
        <f>IF(A453="","",SUMIFS(Clases!$I:$I,Clases!$C:$C,A453,Clases!$J:$J,"&lt;&gt;Reprogramada"))</f>
        <v/>
      </c>
      <c r="P453" s="18">
        <f>IF(A453="","",N453-O453)</f>
        <v/>
      </c>
      <c r="Q453" s="20">
        <f>IF(A453="","",SUMIFS(Ventas!$I:$I,Ventas!$C:$C,A453))</f>
        <v/>
      </c>
      <c r="R453" s="20">
        <f>IF(A453="","",SUMIFS(Pagos!$E:$E,Pagos!$C:$C,A453))</f>
        <v/>
      </c>
      <c r="S453" s="20">
        <f>IF(A453="","",Q453-R453)</f>
        <v/>
      </c>
    </row>
    <row r="454">
      <c r="A454" s="18">
        <f>IF(B454="","","A"&amp;TEXT(ROW()-1,"000"))</f>
        <v/>
      </c>
      <c r="I454" s="19" t="n"/>
      <c r="N454" s="18">
        <f>IF(A454="","",SUMIFS(Ventas!$F:$F,Ventas!$C:$C,A454))</f>
        <v/>
      </c>
      <c r="O454" s="18">
        <f>IF(A454="","",SUMIFS(Clases!$I:$I,Clases!$C:$C,A454,Clases!$J:$J,"&lt;&gt;Reprogramada"))</f>
        <v/>
      </c>
      <c r="P454" s="18">
        <f>IF(A454="","",N454-O454)</f>
        <v/>
      </c>
      <c r="Q454" s="20">
        <f>IF(A454="","",SUMIFS(Ventas!$I:$I,Ventas!$C:$C,A454))</f>
        <v/>
      </c>
      <c r="R454" s="20">
        <f>IF(A454="","",SUMIFS(Pagos!$E:$E,Pagos!$C:$C,A454))</f>
        <v/>
      </c>
      <c r="S454" s="20">
        <f>IF(A454="","",Q454-R454)</f>
        <v/>
      </c>
    </row>
    <row r="455">
      <c r="A455" s="18">
        <f>IF(B455="","","A"&amp;TEXT(ROW()-1,"000"))</f>
        <v/>
      </c>
      <c r="I455" s="19" t="n"/>
      <c r="N455" s="18">
        <f>IF(A455="","",SUMIFS(Ventas!$F:$F,Ventas!$C:$C,A455))</f>
        <v/>
      </c>
      <c r="O455" s="18">
        <f>IF(A455="","",SUMIFS(Clases!$I:$I,Clases!$C:$C,A455,Clases!$J:$J,"&lt;&gt;Reprogramada"))</f>
        <v/>
      </c>
      <c r="P455" s="18">
        <f>IF(A455="","",N455-O455)</f>
        <v/>
      </c>
      <c r="Q455" s="20">
        <f>IF(A455="","",SUMIFS(Ventas!$I:$I,Ventas!$C:$C,A455))</f>
        <v/>
      </c>
      <c r="R455" s="20">
        <f>IF(A455="","",SUMIFS(Pagos!$E:$E,Pagos!$C:$C,A455))</f>
        <v/>
      </c>
      <c r="S455" s="20">
        <f>IF(A455="","",Q455-R455)</f>
        <v/>
      </c>
    </row>
    <row r="456">
      <c r="A456" s="18">
        <f>IF(B456="","","A"&amp;TEXT(ROW()-1,"000"))</f>
        <v/>
      </c>
      <c r="I456" s="19" t="n"/>
      <c r="N456" s="18">
        <f>IF(A456="","",SUMIFS(Ventas!$F:$F,Ventas!$C:$C,A456))</f>
        <v/>
      </c>
      <c r="O456" s="18">
        <f>IF(A456="","",SUMIFS(Clases!$I:$I,Clases!$C:$C,A456,Clases!$J:$J,"&lt;&gt;Reprogramada"))</f>
        <v/>
      </c>
      <c r="P456" s="18">
        <f>IF(A456="","",N456-O456)</f>
        <v/>
      </c>
      <c r="Q456" s="20">
        <f>IF(A456="","",SUMIFS(Ventas!$I:$I,Ventas!$C:$C,A456))</f>
        <v/>
      </c>
      <c r="R456" s="20">
        <f>IF(A456="","",SUMIFS(Pagos!$E:$E,Pagos!$C:$C,A456))</f>
        <v/>
      </c>
      <c r="S456" s="20">
        <f>IF(A456="","",Q456-R456)</f>
        <v/>
      </c>
    </row>
    <row r="457">
      <c r="A457" s="18">
        <f>IF(B457="","","A"&amp;TEXT(ROW()-1,"000"))</f>
        <v/>
      </c>
      <c r="I457" s="19" t="n"/>
      <c r="N457" s="18">
        <f>IF(A457="","",SUMIFS(Ventas!$F:$F,Ventas!$C:$C,A457))</f>
        <v/>
      </c>
      <c r="O457" s="18">
        <f>IF(A457="","",SUMIFS(Clases!$I:$I,Clases!$C:$C,A457,Clases!$J:$J,"&lt;&gt;Reprogramada"))</f>
        <v/>
      </c>
      <c r="P457" s="18">
        <f>IF(A457="","",N457-O457)</f>
        <v/>
      </c>
      <c r="Q457" s="20">
        <f>IF(A457="","",SUMIFS(Ventas!$I:$I,Ventas!$C:$C,A457))</f>
        <v/>
      </c>
      <c r="R457" s="20">
        <f>IF(A457="","",SUMIFS(Pagos!$E:$E,Pagos!$C:$C,A457))</f>
        <v/>
      </c>
      <c r="S457" s="20">
        <f>IF(A457="","",Q457-R457)</f>
        <v/>
      </c>
    </row>
    <row r="458">
      <c r="A458" s="18">
        <f>IF(B458="","","A"&amp;TEXT(ROW()-1,"000"))</f>
        <v/>
      </c>
      <c r="I458" s="19" t="n"/>
      <c r="N458" s="18">
        <f>IF(A458="","",SUMIFS(Ventas!$F:$F,Ventas!$C:$C,A458))</f>
        <v/>
      </c>
      <c r="O458" s="18">
        <f>IF(A458="","",SUMIFS(Clases!$I:$I,Clases!$C:$C,A458,Clases!$J:$J,"&lt;&gt;Reprogramada"))</f>
        <v/>
      </c>
      <c r="P458" s="18">
        <f>IF(A458="","",N458-O458)</f>
        <v/>
      </c>
      <c r="Q458" s="20">
        <f>IF(A458="","",SUMIFS(Ventas!$I:$I,Ventas!$C:$C,A458))</f>
        <v/>
      </c>
      <c r="R458" s="20">
        <f>IF(A458="","",SUMIFS(Pagos!$E:$E,Pagos!$C:$C,A458))</f>
        <v/>
      </c>
      <c r="S458" s="20">
        <f>IF(A458="","",Q458-R458)</f>
        <v/>
      </c>
    </row>
    <row r="459">
      <c r="A459" s="18">
        <f>IF(B459="","","A"&amp;TEXT(ROW()-1,"000"))</f>
        <v/>
      </c>
      <c r="I459" s="19" t="n"/>
      <c r="N459" s="18">
        <f>IF(A459="","",SUMIFS(Ventas!$F:$F,Ventas!$C:$C,A459))</f>
        <v/>
      </c>
      <c r="O459" s="18">
        <f>IF(A459="","",SUMIFS(Clases!$I:$I,Clases!$C:$C,A459,Clases!$J:$J,"&lt;&gt;Reprogramada"))</f>
        <v/>
      </c>
      <c r="P459" s="18">
        <f>IF(A459="","",N459-O459)</f>
        <v/>
      </c>
      <c r="Q459" s="20">
        <f>IF(A459="","",SUMIFS(Ventas!$I:$I,Ventas!$C:$C,A459))</f>
        <v/>
      </c>
      <c r="R459" s="20">
        <f>IF(A459="","",SUMIFS(Pagos!$E:$E,Pagos!$C:$C,A459))</f>
        <v/>
      </c>
      <c r="S459" s="20">
        <f>IF(A459="","",Q459-R459)</f>
        <v/>
      </c>
    </row>
    <row r="460">
      <c r="A460" s="18">
        <f>IF(B460="","","A"&amp;TEXT(ROW()-1,"000"))</f>
        <v/>
      </c>
      <c r="I460" s="19" t="n"/>
      <c r="N460" s="18">
        <f>IF(A460="","",SUMIFS(Ventas!$F:$F,Ventas!$C:$C,A460))</f>
        <v/>
      </c>
      <c r="O460" s="18">
        <f>IF(A460="","",SUMIFS(Clases!$I:$I,Clases!$C:$C,A460,Clases!$J:$J,"&lt;&gt;Reprogramada"))</f>
        <v/>
      </c>
      <c r="P460" s="18">
        <f>IF(A460="","",N460-O460)</f>
        <v/>
      </c>
      <c r="Q460" s="20">
        <f>IF(A460="","",SUMIFS(Ventas!$I:$I,Ventas!$C:$C,A460))</f>
        <v/>
      </c>
      <c r="R460" s="20">
        <f>IF(A460="","",SUMIFS(Pagos!$E:$E,Pagos!$C:$C,A460))</f>
        <v/>
      </c>
      <c r="S460" s="20">
        <f>IF(A460="","",Q460-R460)</f>
        <v/>
      </c>
    </row>
    <row r="461">
      <c r="A461" s="18">
        <f>IF(B461="","","A"&amp;TEXT(ROW()-1,"000"))</f>
        <v/>
      </c>
      <c r="I461" s="19" t="n"/>
      <c r="N461" s="18">
        <f>IF(A461="","",SUMIFS(Ventas!$F:$F,Ventas!$C:$C,A461))</f>
        <v/>
      </c>
      <c r="O461" s="18">
        <f>IF(A461="","",SUMIFS(Clases!$I:$I,Clases!$C:$C,A461,Clases!$J:$J,"&lt;&gt;Reprogramada"))</f>
        <v/>
      </c>
      <c r="P461" s="18">
        <f>IF(A461="","",N461-O461)</f>
        <v/>
      </c>
      <c r="Q461" s="20">
        <f>IF(A461="","",SUMIFS(Ventas!$I:$I,Ventas!$C:$C,A461))</f>
        <v/>
      </c>
      <c r="R461" s="20">
        <f>IF(A461="","",SUMIFS(Pagos!$E:$E,Pagos!$C:$C,A461))</f>
        <v/>
      </c>
      <c r="S461" s="20">
        <f>IF(A461="","",Q461-R461)</f>
        <v/>
      </c>
    </row>
    <row r="462">
      <c r="A462" s="18">
        <f>IF(B462="","","A"&amp;TEXT(ROW()-1,"000"))</f>
        <v/>
      </c>
      <c r="I462" s="19" t="n"/>
      <c r="N462" s="18">
        <f>IF(A462="","",SUMIFS(Ventas!$F:$F,Ventas!$C:$C,A462))</f>
        <v/>
      </c>
      <c r="O462" s="18">
        <f>IF(A462="","",SUMIFS(Clases!$I:$I,Clases!$C:$C,A462,Clases!$J:$J,"&lt;&gt;Reprogramada"))</f>
        <v/>
      </c>
      <c r="P462" s="18">
        <f>IF(A462="","",N462-O462)</f>
        <v/>
      </c>
      <c r="Q462" s="20">
        <f>IF(A462="","",SUMIFS(Ventas!$I:$I,Ventas!$C:$C,A462))</f>
        <v/>
      </c>
      <c r="R462" s="20">
        <f>IF(A462="","",SUMIFS(Pagos!$E:$E,Pagos!$C:$C,A462))</f>
        <v/>
      </c>
      <c r="S462" s="20">
        <f>IF(A462="","",Q462-R462)</f>
        <v/>
      </c>
    </row>
    <row r="463">
      <c r="A463" s="18">
        <f>IF(B463="","","A"&amp;TEXT(ROW()-1,"000"))</f>
        <v/>
      </c>
      <c r="I463" s="19" t="n"/>
      <c r="N463" s="18">
        <f>IF(A463="","",SUMIFS(Ventas!$F:$F,Ventas!$C:$C,A463))</f>
        <v/>
      </c>
      <c r="O463" s="18">
        <f>IF(A463="","",SUMIFS(Clases!$I:$I,Clases!$C:$C,A463,Clases!$J:$J,"&lt;&gt;Reprogramada"))</f>
        <v/>
      </c>
      <c r="P463" s="18">
        <f>IF(A463="","",N463-O463)</f>
        <v/>
      </c>
      <c r="Q463" s="20">
        <f>IF(A463="","",SUMIFS(Ventas!$I:$I,Ventas!$C:$C,A463))</f>
        <v/>
      </c>
      <c r="R463" s="20">
        <f>IF(A463="","",SUMIFS(Pagos!$E:$E,Pagos!$C:$C,A463))</f>
        <v/>
      </c>
      <c r="S463" s="20">
        <f>IF(A463="","",Q463-R463)</f>
        <v/>
      </c>
    </row>
    <row r="464">
      <c r="A464" s="18">
        <f>IF(B464="","","A"&amp;TEXT(ROW()-1,"000"))</f>
        <v/>
      </c>
      <c r="I464" s="19" t="n"/>
      <c r="N464" s="18">
        <f>IF(A464="","",SUMIFS(Ventas!$F:$F,Ventas!$C:$C,A464))</f>
        <v/>
      </c>
      <c r="O464" s="18">
        <f>IF(A464="","",SUMIFS(Clases!$I:$I,Clases!$C:$C,A464,Clases!$J:$J,"&lt;&gt;Reprogramada"))</f>
        <v/>
      </c>
      <c r="P464" s="18">
        <f>IF(A464="","",N464-O464)</f>
        <v/>
      </c>
      <c r="Q464" s="20">
        <f>IF(A464="","",SUMIFS(Ventas!$I:$I,Ventas!$C:$C,A464))</f>
        <v/>
      </c>
      <c r="R464" s="20">
        <f>IF(A464="","",SUMIFS(Pagos!$E:$E,Pagos!$C:$C,A464))</f>
        <v/>
      </c>
      <c r="S464" s="20">
        <f>IF(A464="","",Q464-R464)</f>
        <v/>
      </c>
    </row>
    <row r="465">
      <c r="A465" s="18">
        <f>IF(B465="","","A"&amp;TEXT(ROW()-1,"000"))</f>
        <v/>
      </c>
      <c r="I465" s="19" t="n"/>
      <c r="N465" s="18">
        <f>IF(A465="","",SUMIFS(Ventas!$F:$F,Ventas!$C:$C,A465))</f>
        <v/>
      </c>
      <c r="O465" s="18">
        <f>IF(A465="","",SUMIFS(Clases!$I:$I,Clases!$C:$C,A465,Clases!$J:$J,"&lt;&gt;Reprogramada"))</f>
        <v/>
      </c>
      <c r="P465" s="18">
        <f>IF(A465="","",N465-O465)</f>
        <v/>
      </c>
      <c r="Q465" s="20">
        <f>IF(A465="","",SUMIFS(Ventas!$I:$I,Ventas!$C:$C,A465))</f>
        <v/>
      </c>
      <c r="R465" s="20">
        <f>IF(A465="","",SUMIFS(Pagos!$E:$E,Pagos!$C:$C,A465))</f>
        <v/>
      </c>
      <c r="S465" s="20">
        <f>IF(A465="","",Q465-R465)</f>
        <v/>
      </c>
    </row>
    <row r="466">
      <c r="A466" s="18">
        <f>IF(B466="","","A"&amp;TEXT(ROW()-1,"000"))</f>
        <v/>
      </c>
      <c r="I466" s="19" t="n"/>
      <c r="N466" s="18">
        <f>IF(A466="","",SUMIFS(Ventas!$F:$F,Ventas!$C:$C,A466))</f>
        <v/>
      </c>
      <c r="O466" s="18">
        <f>IF(A466="","",SUMIFS(Clases!$I:$I,Clases!$C:$C,A466,Clases!$J:$J,"&lt;&gt;Reprogramada"))</f>
        <v/>
      </c>
      <c r="P466" s="18">
        <f>IF(A466="","",N466-O466)</f>
        <v/>
      </c>
      <c r="Q466" s="20">
        <f>IF(A466="","",SUMIFS(Ventas!$I:$I,Ventas!$C:$C,A466))</f>
        <v/>
      </c>
      <c r="R466" s="20">
        <f>IF(A466="","",SUMIFS(Pagos!$E:$E,Pagos!$C:$C,A466))</f>
        <v/>
      </c>
      <c r="S466" s="20">
        <f>IF(A466="","",Q466-R466)</f>
        <v/>
      </c>
    </row>
    <row r="467">
      <c r="A467" s="18">
        <f>IF(B467="","","A"&amp;TEXT(ROW()-1,"000"))</f>
        <v/>
      </c>
      <c r="I467" s="19" t="n"/>
      <c r="N467" s="18">
        <f>IF(A467="","",SUMIFS(Ventas!$F:$F,Ventas!$C:$C,A467))</f>
        <v/>
      </c>
      <c r="O467" s="18">
        <f>IF(A467="","",SUMIFS(Clases!$I:$I,Clases!$C:$C,A467,Clases!$J:$J,"&lt;&gt;Reprogramada"))</f>
        <v/>
      </c>
      <c r="P467" s="18">
        <f>IF(A467="","",N467-O467)</f>
        <v/>
      </c>
      <c r="Q467" s="20">
        <f>IF(A467="","",SUMIFS(Ventas!$I:$I,Ventas!$C:$C,A467))</f>
        <v/>
      </c>
      <c r="R467" s="20">
        <f>IF(A467="","",SUMIFS(Pagos!$E:$E,Pagos!$C:$C,A467))</f>
        <v/>
      </c>
      <c r="S467" s="20">
        <f>IF(A467="","",Q467-R467)</f>
        <v/>
      </c>
    </row>
    <row r="468">
      <c r="A468" s="18">
        <f>IF(B468="","","A"&amp;TEXT(ROW()-1,"000"))</f>
        <v/>
      </c>
      <c r="I468" s="19" t="n"/>
      <c r="N468" s="18">
        <f>IF(A468="","",SUMIFS(Ventas!$F:$F,Ventas!$C:$C,A468))</f>
        <v/>
      </c>
      <c r="O468" s="18">
        <f>IF(A468="","",SUMIFS(Clases!$I:$I,Clases!$C:$C,A468,Clases!$J:$J,"&lt;&gt;Reprogramada"))</f>
        <v/>
      </c>
      <c r="P468" s="18">
        <f>IF(A468="","",N468-O468)</f>
        <v/>
      </c>
      <c r="Q468" s="20">
        <f>IF(A468="","",SUMIFS(Ventas!$I:$I,Ventas!$C:$C,A468))</f>
        <v/>
      </c>
      <c r="R468" s="20">
        <f>IF(A468="","",SUMIFS(Pagos!$E:$E,Pagos!$C:$C,A468))</f>
        <v/>
      </c>
      <c r="S468" s="20">
        <f>IF(A468="","",Q468-R468)</f>
        <v/>
      </c>
    </row>
    <row r="469">
      <c r="A469" s="18">
        <f>IF(B469="","","A"&amp;TEXT(ROW()-1,"000"))</f>
        <v/>
      </c>
      <c r="I469" s="19" t="n"/>
      <c r="N469" s="18">
        <f>IF(A469="","",SUMIFS(Ventas!$F:$F,Ventas!$C:$C,A469))</f>
        <v/>
      </c>
      <c r="O469" s="18">
        <f>IF(A469="","",SUMIFS(Clases!$I:$I,Clases!$C:$C,A469,Clases!$J:$J,"&lt;&gt;Reprogramada"))</f>
        <v/>
      </c>
      <c r="P469" s="18">
        <f>IF(A469="","",N469-O469)</f>
        <v/>
      </c>
      <c r="Q469" s="20">
        <f>IF(A469="","",SUMIFS(Ventas!$I:$I,Ventas!$C:$C,A469))</f>
        <v/>
      </c>
      <c r="R469" s="20">
        <f>IF(A469="","",SUMIFS(Pagos!$E:$E,Pagos!$C:$C,A469))</f>
        <v/>
      </c>
      <c r="S469" s="20">
        <f>IF(A469="","",Q469-R469)</f>
        <v/>
      </c>
    </row>
    <row r="470">
      <c r="A470" s="18">
        <f>IF(B470="","","A"&amp;TEXT(ROW()-1,"000"))</f>
        <v/>
      </c>
      <c r="I470" s="19" t="n"/>
      <c r="N470" s="18">
        <f>IF(A470="","",SUMIFS(Ventas!$F:$F,Ventas!$C:$C,A470))</f>
        <v/>
      </c>
      <c r="O470" s="18">
        <f>IF(A470="","",SUMIFS(Clases!$I:$I,Clases!$C:$C,A470,Clases!$J:$J,"&lt;&gt;Reprogramada"))</f>
        <v/>
      </c>
      <c r="P470" s="18">
        <f>IF(A470="","",N470-O470)</f>
        <v/>
      </c>
      <c r="Q470" s="20">
        <f>IF(A470="","",SUMIFS(Ventas!$I:$I,Ventas!$C:$C,A470))</f>
        <v/>
      </c>
      <c r="R470" s="20">
        <f>IF(A470="","",SUMIFS(Pagos!$E:$E,Pagos!$C:$C,A470))</f>
        <v/>
      </c>
      <c r="S470" s="20">
        <f>IF(A470="","",Q470-R470)</f>
        <v/>
      </c>
    </row>
    <row r="471">
      <c r="A471" s="18">
        <f>IF(B471="","","A"&amp;TEXT(ROW()-1,"000"))</f>
        <v/>
      </c>
      <c r="I471" s="19" t="n"/>
      <c r="N471" s="18">
        <f>IF(A471="","",SUMIFS(Ventas!$F:$F,Ventas!$C:$C,A471))</f>
        <v/>
      </c>
      <c r="O471" s="18">
        <f>IF(A471="","",SUMIFS(Clases!$I:$I,Clases!$C:$C,A471,Clases!$J:$J,"&lt;&gt;Reprogramada"))</f>
        <v/>
      </c>
      <c r="P471" s="18">
        <f>IF(A471="","",N471-O471)</f>
        <v/>
      </c>
      <c r="Q471" s="20">
        <f>IF(A471="","",SUMIFS(Ventas!$I:$I,Ventas!$C:$C,A471))</f>
        <v/>
      </c>
      <c r="R471" s="20">
        <f>IF(A471="","",SUMIFS(Pagos!$E:$E,Pagos!$C:$C,A471))</f>
        <v/>
      </c>
      <c r="S471" s="20">
        <f>IF(A471="","",Q471-R471)</f>
        <v/>
      </c>
    </row>
    <row r="472">
      <c r="A472" s="18">
        <f>IF(B472="","","A"&amp;TEXT(ROW()-1,"000"))</f>
        <v/>
      </c>
      <c r="I472" s="19" t="n"/>
      <c r="N472" s="18">
        <f>IF(A472="","",SUMIFS(Ventas!$F:$F,Ventas!$C:$C,A472))</f>
        <v/>
      </c>
      <c r="O472" s="18">
        <f>IF(A472="","",SUMIFS(Clases!$I:$I,Clases!$C:$C,A472,Clases!$J:$J,"&lt;&gt;Reprogramada"))</f>
        <v/>
      </c>
      <c r="P472" s="18">
        <f>IF(A472="","",N472-O472)</f>
        <v/>
      </c>
      <c r="Q472" s="20">
        <f>IF(A472="","",SUMIFS(Ventas!$I:$I,Ventas!$C:$C,A472))</f>
        <v/>
      </c>
      <c r="R472" s="20">
        <f>IF(A472="","",SUMIFS(Pagos!$E:$E,Pagos!$C:$C,A472))</f>
        <v/>
      </c>
      <c r="S472" s="20">
        <f>IF(A472="","",Q472-R472)</f>
        <v/>
      </c>
    </row>
    <row r="473">
      <c r="A473" s="18">
        <f>IF(B473="","","A"&amp;TEXT(ROW()-1,"000"))</f>
        <v/>
      </c>
      <c r="I473" s="19" t="n"/>
      <c r="N473" s="18">
        <f>IF(A473="","",SUMIFS(Ventas!$F:$F,Ventas!$C:$C,A473))</f>
        <v/>
      </c>
      <c r="O473" s="18">
        <f>IF(A473="","",SUMIFS(Clases!$I:$I,Clases!$C:$C,A473,Clases!$J:$J,"&lt;&gt;Reprogramada"))</f>
        <v/>
      </c>
      <c r="P473" s="18">
        <f>IF(A473="","",N473-O473)</f>
        <v/>
      </c>
      <c r="Q473" s="20">
        <f>IF(A473="","",SUMIFS(Ventas!$I:$I,Ventas!$C:$C,A473))</f>
        <v/>
      </c>
      <c r="R473" s="20">
        <f>IF(A473="","",SUMIFS(Pagos!$E:$E,Pagos!$C:$C,A473))</f>
        <v/>
      </c>
      <c r="S473" s="20">
        <f>IF(A473="","",Q473-R473)</f>
        <v/>
      </c>
    </row>
    <row r="474">
      <c r="A474" s="18">
        <f>IF(B474="","","A"&amp;TEXT(ROW()-1,"000"))</f>
        <v/>
      </c>
      <c r="I474" s="19" t="n"/>
      <c r="N474" s="18">
        <f>IF(A474="","",SUMIFS(Ventas!$F:$F,Ventas!$C:$C,A474))</f>
        <v/>
      </c>
      <c r="O474" s="18">
        <f>IF(A474="","",SUMIFS(Clases!$I:$I,Clases!$C:$C,A474,Clases!$J:$J,"&lt;&gt;Reprogramada"))</f>
        <v/>
      </c>
      <c r="P474" s="18">
        <f>IF(A474="","",N474-O474)</f>
        <v/>
      </c>
      <c r="Q474" s="20">
        <f>IF(A474="","",SUMIFS(Ventas!$I:$I,Ventas!$C:$C,A474))</f>
        <v/>
      </c>
      <c r="R474" s="20">
        <f>IF(A474="","",SUMIFS(Pagos!$E:$E,Pagos!$C:$C,A474))</f>
        <v/>
      </c>
      <c r="S474" s="20">
        <f>IF(A474="","",Q474-R474)</f>
        <v/>
      </c>
    </row>
    <row r="475">
      <c r="A475" s="18">
        <f>IF(B475="","","A"&amp;TEXT(ROW()-1,"000"))</f>
        <v/>
      </c>
      <c r="I475" s="19" t="n"/>
      <c r="N475" s="18">
        <f>IF(A475="","",SUMIFS(Ventas!$F:$F,Ventas!$C:$C,A475))</f>
        <v/>
      </c>
      <c r="O475" s="18">
        <f>IF(A475="","",SUMIFS(Clases!$I:$I,Clases!$C:$C,A475,Clases!$J:$J,"&lt;&gt;Reprogramada"))</f>
        <v/>
      </c>
      <c r="P475" s="18">
        <f>IF(A475="","",N475-O475)</f>
        <v/>
      </c>
      <c r="Q475" s="20">
        <f>IF(A475="","",SUMIFS(Ventas!$I:$I,Ventas!$C:$C,A475))</f>
        <v/>
      </c>
      <c r="R475" s="20">
        <f>IF(A475="","",SUMIFS(Pagos!$E:$E,Pagos!$C:$C,A475))</f>
        <v/>
      </c>
      <c r="S475" s="20">
        <f>IF(A475="","",Q475-R475)</f>
        <v/>
      </c>
    </row>
    <row r="476">
      <c r="A476" s="18">
        <f>IF(B476="","","A"&amp;TEXT(ROW()-1,"000"))</f>
        <v/>
      </c>
      <c r="I476" s="19" t="n"/>
      <c r="N476" s="18">
        <f>IF(A476="","",SUMIFS(Ventas!$F:$F,Ventas!$C:$C,A476))</f>
        <v/>
      </c>
      <c r="O476" s="18">
        <f>IF(A476="","",SUMIFS(Clases!$I:$I,Clases!$C:$C,A476,Clases!$J:$J,"&lt;&gt;Reprogramada"))</f>
        <v/>
      </c>
      <c r="P476" s="18">
        <f>IF(A476="","",N476-O476)</f>
        <v/>
      </c>
      <c r="Q476" s="20">
        <f>IF(A476="","",SUMIFS(Ventas!$I:$I,Ventas!$C:$C,A476))</f>
        <v/>
      </c>
      <c r="R476" s="20">
        <f>IF(A476="","",SUMIFS(Pagos!$E:$E,Pagos!$C:$C,A476))</f>
        <v/>
      </c>
      <c r="S476" s="20">
        <f>IF(A476="","",Q476-R476)</f>
        <v/>
      </c>
    </row>
    <row r="477">
      <c r="A477" s="18">
        <f>IF(B477="","","A"&amp;TEXT(ROW()-1,"000"))</f>
        <v/>
      </c>
      <c r="I477" s="19" t="n"/>
      <c r="N477" s="18">
        <f>IF(A477="","",SUMIFS(Ventas!$F:$F,Ventas!$C:$C,A477))</f>
        <v/>
      </c>
      <c r="O477" s="18">
        <f>IF(A477="","",SUMIFS(Clases!$I:$I,Clases!$C:$C,A477,Clases!$J:$J,"&lt;&gt;Reprogramada"))</f>
        <v/>
      </c>
      <c r="P477" s="18">
        <f>IF(A477="","",N477-O477)</f>
        <v/>
      </c>
      <c r="Q477" s="20">
        <f>IF(A477="","",SUMIFS(Ventas!$I:$I,Ventas!$C:$C,A477))</f>
        <v/>
      </c>
      <c r="R477" s="20">
        <f>IF(A477="","",SUMIFS(Pagos!$E:$E,Pagos!$C:$C,A477))</f>
        <v/>
      </c>
      <c r="S477" s="20">
        <f>IF(A477="","",Q477-R477)</f>
        <v/>
      </c>
    </row>
    <row r="478">
      <c r="A478" s="18">
        <f>IF(B478="","","A"&amp;TEXT(ROW()-1,"000"))</f>
        <v/>
      </c>
      <c r="I478" s="19" t="n"/>
      <c r="N478" s="18">
        <f>IF(A478="","",SUMIFS(Ventas!$F:$F,Ventas!$C:$C,A478))</f>
        <v/>
      </c>
      <c r="O478" s="18">
        <f>IF(A478="","",SUMIFS(Clases!$I:$I,Clases!$C:$C,A478,Clases!$J:$J,"&lt;&gt;Reprogramada"))</f>
        <v/>
      </c>
      <c r="P478" s="18">
        <f>IF(A478="","",N478-O478)</f>
        <v/>
      </c>
      <c r="Q478" s="20">
        <f>IF(A478="","",SUMIFS(Ventas!$I:$I,Ventas!$C:$C,A478))</f>
        <v/>
      </c>
      <c r="R478" s="20">
        <f>IF(A478="","",SUMIFS(Pagos!$E:$E,Pagos!$C:$C,A478))</f>
        <v/>
      </c>
      <c r="S478" s="20">
        <f>IF(A478="","",Q478-R478)</f>
        <v/>
      </c>
    </row>
    <row r="479">
      <c r="A479" s="18">
        <f>IF(B479="","","A"&amp;TEXT(ROW()-1,"000"))</f>
        <v/>
      </c>
      <c r="I479" s="19" t="n"/>
      <c r="N479" s="18">
        <f>IF(A479="","",SUMIFS(Ventas!$F:$F,Ventas!$C:$C,A479))</f>
        <v/>
      </c>
      <c r="O479" s="18">
        <f>IF(A479="","",SUMIFS(Clases!$I:$I,Clases!$C:$C,A479,Clases!$J:$J,"&lt;&gt;Reprogramada"))</f>
        <v/>
      </c>
      <c r="P479" s="18">
        <f>IF(A479="","",N479-O479)</f>
        <v/>
      </c>
      <c r="Q479" s="20">
        <f>IF(A479="","",SUMIFS(Ventas!$I:$I,Ventas!$C:$C,A479))</f>
        <v/>
      </c>
      <c r="R479" s="20">
        <f>IF(A479="","",SUMIFS(Pagos!$E:$E,Pagos!$C:$C,A479))</f>
        <v/>
      </c>
      <c r="S479" s="20">
        <f>IF(A479="","",Q479-R479)</f>
        <v/>
      </c>
    </row>
    <row r="480">
      <c r="A480" s="18">
        <f>IF(B480="","","A"&amp;TEXT(ROW()-1,"000"))</f>
        <v/>
      </c>
      <c r="I480" s="19" t="n"/>
      <c r="N480" s="18">
        <f>IF(A480="","",SUMIFS(Ventas!$F:$F,Ventas!$C:$C,A480))</f>
        <v/>
      </c>
      <c r="O480" s="18">
        <f>IF(A480="","",SUMIFS(Clases!$I:$I,Clases!$C:$C,A480,Clases!$J:$J,"&lt;&gt;Reprogramada"))</f>
        <v/>
      </c>
      <c r="P480" s="18">
        <f>IF(A480="","",N480-O480)</f>
        <v/>
      </c>
      <c r="Q480" s="20">
        <f>IF(A480="","",SUMIFS(Ventas!$I:$I,Ventas!$C:$C,A480))</f>
        <v/>
      </c>
      <c r="R480" s="20">
        <f>IF(A480="","",SUMIFS(Pagos!$E:$E,Pagos!$C:$C,A480))</f>
        <v/>
      </c>
      <c r="S480" s="20">
        <f>IF(A480="","",Q480-R480)</f>
        <v/>
      </c>
    </row>
    <row r="481">
      <c r="A481" s="18">
        <f>IF(B481="","","A"&amp;TEXT(ROW()-1,"000"))</f>
        <v/>
      </c>
      <c r="I481" s="19" t="n"/>
      <c r="N481" s="18">
        <f>IF(A481="","",SUMIFS(Ventas!$F:$F,Ventas!$C:$C,A481))</f>
        <v/>
      </c>
      <c r="O481" s="18">
        <f>IF(A481="","",SUMIFS(Clases!$I:$I,Clases!$C:$C,A481,Clases!$J:$J,"&lt;&gt;Reprogramada"))</f>
        <v/>
      </c>
      <c r="P481" s="18">
        <f>IF(A481="","",N481-O481)</f>
        <v/>
      </c>
      <c r="Q481" s="20">
        <f>IF(A481="","",SUMIFS(Ventas!$I:$I,Ventas!$C:$C,A481))</f>
        <v/>
      </c>
      <c r="R481" s="20">
        <f>IF(A481="","",SUMIFS(Pagos!$E:$E,Pagos!$C:$C,A481))</f>
        <v/>
      </c>
      <c r="S481" s="20">
        <f>IF(A481="","",Q481-R481)</f>
        <v/>
      </c>
    </row>
    <row r="482">
      <c r="A482" s="18">
        <f>IF(B482="","","A"&amp;TEXT(ROW()-1,"000"))</f>
        <v/>
      </c>
      <c r="I482" s="19" t="n"/>
      <c r="N482" s="18">
        <f>IF(A482="","",SUMIFS(Ventas!$F:$F,Ventas!$C:$C,A482))</f>
        <v/>
      </c>
      <c r="O482" s="18">
        <f>IF(A482="","",SUMIFS(Clases!$I:$I,Clases!$C:$C,A482,Clases!$J:$J,"&lt;&gt;Reprogramada"))</f>
        <v/>
      </c>
      <c r="P482" s="18">
        <f>IF(A482="","",N482-O482)</f>
        <v/>
      </c>
      <c r="Q482" s="20">
        <f>IF(A482="","",SUMIFS(Ventas!$I:$I,Ventas!$C:$C,A482))</f>
        <v/>
      </c>
      <c r="R482" s="20">
        <f>IF(A482="","",SUMIFS(Pagos!$E:$E,Pagos!$C:$C,A482))</f>
        <v/>
      </c>
      <c r="S482" s="20">
        <f>IF(A482="","",Q482-R482)</f>
        <v/>
      </c>
    </row>
    <row r="483">
      <c r="A483" s="18">
        <f>IF(B483="","","A"&amp;TEXT(ROW()-1,"000"))</f>
        <v/>
      </c>
      <c r="I483" s="19" t="n"/>
      <c r="N483" s="18">
        <f>IF(A483="","",SUMIFS(Ventas!$F:$F,Ventas!$C:$C,A483))</f>
        <v/>
      </c>
      <c r="O483" s="18">
        <f>IF(A483="","",SUMIFS(Clases!$I:$I,Clases!$C:$C,A483,Clases!$J:$J,"&lt;&gt;Reprogramada"))</f>
        <v/>
      </c>
      <c r="P483" s="18">
        <f>IF(A483="","",N483-O483)</f>
        <v/>
      </c>
      <c r="Q483" s="20">
        <f>IF(A483="","",SUMIFS(Ventas!$I:$I,Ventas!$C:$C,A483))</f>
        <v/>
      </c>
      <c r="R483" s="20">
        <f>IF(A483="","",SUMIFS(Pagos!$E:$E,Pagos!$C:$C,A483))</f>
        <v/>
      </c>
      <c r="S483" s="20">
        <f>IF(A483="","",Q483-R483)</f>
        <v/>
      </c>
    </row>
    <row r="484">
      <c r="A484" s="18">
        <f>IF(B484="","","A"&amp;TEXT(ROW()-1,"000"))</f>
        <v/>
      </c>
      <c r="I484" s="19" t="n"/>
      <c r="N484" s="18">
        <f>IF(A484="","",SUMIFS(Ventas!$F:$F,Ventas!$C:$C,A484))</f>
        <v/>
      </c>
      <c r="O484" s="18">
        <f>IF(A484="","",SUMIFS(Clases!$I:$I,Clases!$C:$C,A484,Clases!$J:$J,"&lt;&gt;Reprogramada"))</f>
        <v/>
      </c>
      <c r="P484" s="18">
        <f>IF(A484="","",N484-O484)</f>
        <v/>
      </c>
      <c r="Q484" s="20">
        <f>IF(A484="","",SUMIFS(Ventas!$I:$I,Ventas!$C:$C,A484))</f>
        <v/>
      </c>
      <c r="R484" s="20">
        <f>IF(A484="","",SUMIFS(Pagos!$E:$E,Pagos!$C:$C,A484))</f>
        <v/>
      </c>
      <c r="S484" s="20">
        <f>IF(A484="","",Q484-R484)</f>
        <v/>
      </c>
    </row>
    <row r="485">
      <c r="A485" s="18">
        <f>IF(B485="","","A"&amp;TEXT(ROW()-1,"000"))</f>
        <v/>
      </c>
      <c r="I485" s="19" t="n"/>
      <c r="N485" s="18">
        <f>IF(A485="","",SUMIFS(Ventas!$F:$F,Ventas!$C:$C,A485))</f>
        <v/>
      </c>
      <c r="O485" s="18">
        <f>IF(A485="","",SUMIFS(Clases!$I:$I,Clases!$C:$C,A485,Clases!$J:$J,"&lt;&gt;Reprogramada"))</f>
        <v/>
      </c>
      <c r="P485" s="18">
        <f>IF(A485="","",N485-O485)</f>
        <v/>
      </c>
      <c r="Q485" s="20">
        <f>IF(A485="","",SUMIFS(Ventas!$I:$I,Ventas!$C:$C,A485))</f>
        <v/>
      </c>
      <c r="R485" s="20">
        <f>IF(A485="","",SUMIFS(Pagos!$E:$E,Pagos!$C:$C,A485))</f>
        <v/>
      </c>
      <c r="S485" s="20">
        <f>IF(A485="","",Q485-R485)</f>
        <v/>
      </c>
    </row>
    <row r="486">
      <c r="A486" s="18">
        <f>IF(B486="","","A"&amp;TEXT(ROW()-1,"000"))</f>
        <v/>
      </c>
      <c r="I486" s="19" t="n"/>
      <c r="N486" s="18">
        <f>IF(A486="","",SUMIFS(Ventas!$F:$F,Ventas!$C:$C,A486))</f>
        <v/>
      </c>
      <c r="O486" s="18">
        <f>IF(A486="","",SUMIFS(Clases!$I:$I,Clases!$C:$C,A486,Clases!$J:$J,"&lt;&gt;Reprogramada"))</f>
        <v/>
      </c>
      <c r="P486" s="18">
        <f>IF(A486="","",N486-O486)</f>
        <v/>
      </c>
      <c r="Q486" s="20">
        <f>IF(A486="","",SUMIFS(Ventas!$I:$I,Ventas!$C:$C,A486))</f>
        <v/>
      </c>
      <c r="R486" s="20">
        <f>IF(A486="","",SUMIFS(Pagos!$E:$E,Pagos!$C:$C,A486))</f>
        <v/>
      </c>
      <c r="S486" s="20">
        <f>IF(A486="","",Q486-R486)</f>
        <v/>
      </c>
    </row>
    <row r="487">
      <c r="A487" s="18">
        <f>IF(B487="","","A"&amp;TEXT(ROW()-1,"000"))</f>
        <v/>
      </c>
      <c r="I487" s="19" t="n"/>
      <c r="N487" s="18">
        <f>IF(A487="","",SUMIFS(Ventas!$F:$F,Ventas!$C:$C,A487))</f>
        <v/>
      </c>
      <c r="O487" s="18">
        <f>IF(A487="","",SUMIFS(Clases!$I:$I,Clases!$C:$C,A487,Clases!$J:$J,"&lt;&gt;Reprogramada"))</f>
        <v/>
      </c>
      <c r="P487" s="18">
        <f>IF(A487="","",N487-O487)</f>
        <v/>
      </c>
      <c r="Q487" s="20">
        <f>IF(A487="","",SUMIFS(Ventas!$I:$I,Ventas!$C:$C,A487))</f>
        <v/>
      </c>
      <c r="R487" s="20">
        <f>IF(A487="","",SUMIFS(Pagos!$E:$E,Pagos!$C:$C,A487))</f>
        <v/>
      </c>
      <c r="S487" s="20">
        <f>IF(A487="","",Q487-R487)</f>
        <v/>
      </c>
    </row>
    <row r="488">
      <c r="A488" s="18">
        <f>IF(B488="","","A"&amp;TEXT(ROW()-1,"000"))</f>
        <v/>
      </c>
      <c r="I488" s="19" t="n"/>
      <c r="N488" s="18">
        <f>IF(A488="","",SUMIFS(Ventas!$F:$F,Ventas!$C:$C,A488))</f>
        <v/>
      </c>
      <c r="O488" s="18">
        <f>IF(A488="","",SUMIFS(Clases!$I:$I,Clases!$C:$C,A488,Clases!$J:$J,"&lt;&gt;Reprogramada"))</f>
        <v/>
      </c>
      <c r="P488" s="18">
        <f>IF(A488="","",N488-O488)</f>
        <v/>
      </c>
      <c r="Q488" s="20">
        <f>IF(A488="","",SUMIFS(Ventas!$I:$I,Ventas!$C:$C,A488))</f>
        <v/>
      </c>
      <c r="R488" s="20">
        <f>IF(A488="","",SUMIFS(Pagos!$E:$E,Pagos!$C:$C,A488))</f>
        <v/>
      </c>
      <c r="S488" s="20">
        <f>IF(A488="","",Q488-R488)</f>
        <v/>
      </c>
    </row>
    <row r="489">
      <c r="A489" s="18">
        <f>IF(B489="","","A"&amp;TEXT(ROW()-1,"000"))</f>
        <v/>
      </c>
      <c r="I489" s="19" t="n"/>
      <c r="N489" s="18">
        <f>IF(A489="","",SUMIFS(Ventas!$F:$F,Ventas!$C:$C,A489))</f>
        <v/>
      </c>
      <c r="O489" s="18">
        <f>IF(A489="","",SUMIFS(Clases!$I:$I,Clases!$C:$C,A489,Clases!$J:$J,"&lt;&gt;Reprogramada"))</f>
        <v/>
      </c>
      <c r="P489" s="18">
        <f>IF(A489="","",N489-O489)</f>
        <v/>
      </c>
      <c r="Q489" s="20">
        <f>IF(A489="","",SUMIFS(Ventas!$I:$I,Ventas!$C:$C,A489))</f>
        <v/>
      </c>
      <c r="R489" s="20">
        <f>IF(A489="","",SUMIFS(Pagos!$E:$E,Pagos!$C:$C,A489))</f>
        <v/>
      </c>
      <c r="S489" s="20">
        <f>IF(A489="","",Q489-R489)</f>
        <v/>
      </c>
    </row>
    <row r="490">
      <c r="A490" s="18">
        <f>IF(B490="","","A"&amp;TEXT(ROW()-1,"000"))</f>
        <v/>
      </c>
      <c r="I490" s="19" t="n"/>
      <c r="N490" s="18">
        <f>IF(A490="","",SUMIFS(Ventas!$F:$F,Ventas!$C:$C,A490))</f>
        <v/>
      </c>
      <c r="O490" s="18">
        <f>IF(A490="","",SUMIFS(Clases!$I:$I,Clases!$C:$C,A490,Clases!$J:$J,"&lt;&gt;Reprogramada"))</f>
        <v/>
      </c>
      <c r="P490" s="18">
        <f>IF(A490="","",N490-O490)</f>
        <v/>
      </c>
      <c r="Q490" s="20">
        <f>IF(A490="","",SUMIFS(Ventas!$I:$I,Ventas!$C:$C,A490))</f>
        <v/>
      </c>
      <c r="R490" s="20">
        <f>IF(A490="","",SUMIFS(Pagos!$E:$E,Pagos!$C:$C,A490))</f>
        <v/>
      </c>
      <c r="S490" s="20">
        <f>IF(A490="","",Q490-R490)</f>
        <v/>
      </c>
    </row>
    <row r="491">
      <c r="A491" s="18">
        <f>IF(B491="","","A"&amp;TEXT(ROW()-1,"000"))</f>
        <v/>
      </c>
      <c r="I491" s="19" t="n"/>
      <c r="N491" s="18">
        <f>IF(A491="","",SUMIFS(Ventas!$F:$F,Ventas!$C:$C,A491))</f>
        <v/>
      </c>
      <c r="O491" s="18">
        <f>IF(A491="","",SUMIFS(Clases!$I:$I,Clases!$C:$C,A491,Clases!$J:$J,"&lt;&gt;Reprogramada"))</f>
        <v/>
      </c>
      <c r="P491" s="18">
        <f>IF(A491="","",N491-O491)</f>
        <v/>
      </c>
      <c r="Q491" s="20">
        <f>IF(A491="","",SUMIFS(Ventas!$I:$I,Ventas!$C:$C,A491))</f>
        <v/>
      </c>
      <c r="R491" s="20">
        <f>IF(A491="","",SUMIFS(Pagos!$E:$E,Pagos!$C:$C,A491))</f>
        <v/>
      </c>
      <c r="S491" s="20">
        <f>IF(A491="","",Q491-R491)</f>
        <v/>
      </c>
    </row>
    <row r="492">
      <c r="A492" s="18">
        <f>IF(B492="","","A"&amp;TEXT(ROW()-1,"000"))</f>
        <v/>
      </c>
      <c r="I492" s="19" t="n"/>
      <c r="N492" s="18">
        <f>IF(A492="","",SUMIFS(Ventas!$F:$F,Ventas!$C:$C,A492))</f>
        <v/>
      </c>
      <c r="O492" s="18">
        <f>IF(A492="","",SUMIFS(Clases!$I:$I,Clases!$C:$C,A492,Clases!$J:$J,"&lt;&gt;Reprogramada"))</f>
        <v/>
      </c>
      <c r="P492" s="18">
        <f>IF(A492="","",N492-O492)</f>
        <v/>
      </c>
      <c r="Q492" s="20">
        <f>IF(A492="","",SUMIFS(Ventas!$I:$I,Ventas!$C:$C,A492))</f>
        <v/>
      </c>
      <c r="R492" s="20">
        <f>IF(A492="","",SUMIFS(Pagos!$E:$E,Pagos!$C:$C,A492))</f>
        <v/>
      </c>
      <c r="S492" s="20">
        <f>IF(A492="","",Q492-R492)</f>
        <v/>
      </c>
    </row>
    <row r="493">
      <c r="A493" s="18">
        <f>IF(B493="","","A"&amp;TEXT(ROW()-1,"000"))</f>
        <v/>
      </c>
      <c r="I493" s="19" t="n"/>
      <c r="N493" s="18">
        <f>IF(A493="","",SUMIFS(Ventas!$F:$F,Ventas!$C:$C,A493))</f>
        <v/>
      </c>
      <c r="O493" s="18">
        <f>IF(A493="","",SUMIFS(Clases!$I:$I,Clases!$C:$C,A493,Clases!$J:$J,"&lt;&gt;Reprogramada"))</f>
        <v/>
      </c>
      <c r="P493" s="18">
        <f>IF(A493="","",N493-O493)</f>
        <v/>
      </c>
      <c r="Q493" s="20">
        <f>IF(A493="","",SUMIFS(Ventas!$I:$I,Ventas!$C:$C,A493))</f>
        <v/>
      </c>
      <c r="R493" s="20">
        <f>IF(A493="","",SUMIFS(Pagos!$E:$E,Pagos!$C:$C,A493))</f>
        <v/>
      </c>
      <c r="S493" s="20">
        <f>IF(A493="","",Q493-R493)</f>
        <v/>
      </c>
    </row>
    <row r="494">
      <c r="A494" s="18">
        <f>IF(B494="","","A"&amp;TEXT(ROW()-1,"000"))</f>
        <v/>
      </c>
      <c r="I494" s="19" t="n"/>
      <c r="N494" s="18">
        <f>IF(A494="","",SUMIFS(Ventas!$F:$F,Ventas!$C:$C,A494))</f>
        <v/>
      </c>
      <c r="O494" s="18">
        <f>IF(A494="","",SUMIFS(Clases!$I:$I,Clases!$C:$C,A494,Clases!$J:$J,"&lt;&gt;Reprogramada"))</f>
        <v/>
      </c>
      <c r="P494" s="18">
        <f>IF(A494="","",N494-O494)</f>
        <v/>
      </c>
      <c r="Q494" s="20">
        <f>IF(A494="","",SUMIFS(Ventas!$I:$I,Ventas!$C:$C,A494))</f>
        <v/>
      </c>
      <c r="R494" s="20">
        <f>IF(A494="","",SUMIFS(Pagos!$E:$E,Pagos!$C:$C,A494))</f>
        <v/>
      </c>
      <c r="S494" s="20">
        <f>IF(A494="","",Q494-R494)</f>
        <v/>
      </c>
    </row>
    <row r="495">
      <c r="A495" s="18">
        <f>IF(B495="","","A"&amp;TEXT(ROW()-1,"000"))</f>
        <v/>
      </c>
      <c r="I495" s="19" t="n"/>
      <c r="N495" s="18">
        <f>IF(A495="","",SUMIFS(Ventas!$F:$F,Ventas!$C:$C,A495))</f>
        <v/>
      </c>
      <c r="O495" s="18">
        <f>IF(A495="","",SUMIFS(Clases!$I:$I,Clases!$C:$C,A495,Clases!$J:$J,"&lt;&gt;Reprogramada"))</f>
        <v/>
      </c>
      <c r="P495" s="18">
        <f>IF(A495="","",N495-O495)</f>
        <v/>
      </c>
      <c r="Q495" s="20">
        <f>IF(A495="","",SUMIFS(Ventas!$I:$I,Ventas!$C:$C,A495))</f>
        <v/>
      </c>
      <c r="R495" s="20">
        <f>IF(A495="","",SUMIFS(Pagos!$E:$E,Pagos!$C:$C,A495))</f>
        <v/>
      </c>
      <c r="S495" s="20">
        <f>IF(A495="","",Q495-R495)</f>
        <v/>
      </c>
    </row>
    <row r="496">
      <c r="A496" s="18">
        <f>IF(B496="","","A"&amp;TEXT(ROW()-1,"000"))</f>
        <v/>
      </c>
      <c r="I496" s="19" t="n"/>
      <c r="N496" s="18">
        <f>IF(A496="","",SUMIFS(Ventas!$F:$F,Ventas!$C:$C,A496))</f>
        <v/>
      </c>
      <c r="O496" s="18">
        <f>IF(A496="","",SUMIFS(Clases!$I:$I,Clases!$C:$C,A496,Clases!$J:$J,"&lt;&gt;Reprogramada"))</f>
        <v/>
      </c>
      <c r="P496" s="18">
        <f>IF(A496="","",N496-O496)</f>
        <v/>
      </c>
      <c r="Q496" s="20">
        <f>IF(A496="","",SUMIFS(Ventas!$I:$I,Ventas!$C:$C,A496))</f>
        <v/>
      </c>
      <c r="R496" s="20">
        <f>IF(A496="","",SUMIFS(Pagos!$E:$E,Pagos!$C:$C,A496))</f>
        <v/>
      </c>
      <c r="S496" s="20">
        <f>IF(A496="","",Q496-R496)</f>
        <v/>
      </c>
    </row>
    <row r="497">
      <c r="A497" s="18">
        <f>IF(B497="","","A"&amp;TEXT(ROW()-1,"000"))</f>
        <v/>
      </c>
      <c r="I497" s="19" t="n"/>
      <c r="N497" s="18">
        <f>IF(A497="","",SUMIFS(Ventas!$F:$F,Ventas!$C:$C,A497))</f>
        <v/>
      </c>
      <c r="O497" s="18">
        <f>IF(A497="","",SUMIFS(Clases!$I:$I,Clases!$C:$C,A497,Clases!$J:$J,"&lt;&gt;Reprogramada"))</f>
        <v/>
      </c>
      <c r="P497" s="18">
        <f>IF(A497="","",N497-O497)</f>
        <v/>
      </c>
      <c r="Q497" s="20">
        <f>IF(A497="","",SUMIFS(Ventas!$I:$I,Ventas!$C:$C,A497))</f>
        <v/>
      </c>
      <c r="R497" s="20">
        <f>IF(A497="","",SUMIFS(Pagos!$E:$E,Pagos!$C:$C,A497))</f>
        <v/>
      </c>
      <c r="S497" s="20">
        <f>IF(A497="","",Q497-R497)</f>
        <v/>
      </c>
    </row>
    <row r="498">
      <c r="A498" s="18">
        <f>IF(B498="","","A"&amp;TEXT(ROW()-1,"000"))</f>
        <v/>
      </c>
      <c r="I498" s="19" t="n"/>
      <c r="N498" s="18">
        <f>IF(A498="","",SUMIFS(Ventas!$F:$F,Ventas!$C:$C,A498))</f>
        <v/>
      </c>
      <c r="O498" s="18">
        <f>IF(A498="","",SUMIFS(Clases!$I:$I,Clases!$C:$C,A498,Clases!$J:$J,"&lt;&gt;Reprogramada"))</f>
        <v/>
      </c>
      <c r="P498" s="18">
        <f>IF(A498="","",N498-O498)</f>
        <v/>
      </c>
      <c r="Q498" s="20">
        <f>IF(A498="","",SUMIFS(Ventas!$I:$I,Ventas!$C:$C,A498))</f>
        <v/>
      </c>
      <c r="R498" s="20">
        <f>IF(A498="","",SUMIFS(Pagos!$E:$E,Pagos!$C:$C,A498))</f>
        <v/>
      </c>
      <c r="S498" s="20">
        <f>IF(A498="","",Q498-R498)</f>
        <v/>
      </c>
    </row>
    <row r="499">
      <c r="A499" s="18">
        <f>IF(B499="","","A"&amp;TEXT(ROW()-1,"000"))</f>
        <v/>
      </c>
      <c r="I499" s="19" t="n"/>
      <c r="N499" s="18">
        <f>IF(A499="","",SUMIFS(Ventas!$F:$F,Ventas!$C:$C,A499))</f>
        <v/>
      </c>
      <c r="O499" s="18">
        <f>IF(A499="","",SUMIFS(Clases!$I:$I,Clases!$C:$C,A499,Clases!$J:$J,"&lt;&gt;Reprogramada"))</f>
        <v/>
      </c>
      <c r="P499" s="18">
        <f>IF(A499="","",N499-O499)</f>
        <v/>
      </c>
      <c r="Q499" s="20">
        <f>IF(A499="","",SUMIFS(Ventas!$I:$I,Ventas!$C:$C,A499))</f>
        <v/>
      </c>
      <c r="R499" s="20">
        <f>IF(A499="","",SUMIFS(Pagos!$E:$E,Pagos!$C:$C,A499))</f>
        <v/>
      </c>
      <c r="S499" s="20">
        <f>IF(A499="","",Q499-R499)</f>
        <v/>
      </c>
    </row>
    <row r="500">
      <c r="A500" s="18">
        <f>IF(B500="","","A"&amp;TEXT(ROW()-1,"000"))</f>
        <v/>
      </c>
      <c r="I500" s="19" t="n"/>
      <c r="N500" s="18">
        <f>IF(A500="","",SUMIFS(Ventas!$F:$F,Ventas!$C:$C,A500))</f>
        <v/>
      </c>
      <c r="O500" s="18">
        <f>IF(A500="","",SUMIFS(Clases!$I:$I,Clases!$C:$C,A500,Clases!$J:$J,"&lt;&gt;Reprogramada"))</f>
        <v/>
      </c>
      <c r="P500" s="18">
        <f>IF(A500="","",N500-O500)</f>
        <v/>
      </c>
      <c r="Q500" s="20">
        <f>IF(A500="","",SUMIFS(Ventas!$I:$I,Ventas!$C:$C,A500))</f>
        <v/>
      </c>
      <c r="R500" s="20">
        <f>IF(A500="","",SUMIFS(Pagos!$E:$E,Pagos!$C:$C,A500))</f>
        <v/>
      </c>
      <c r="S500" s="20">
        <f>IF(A500="","",Q500-R500)</f>
        <v/>
      </c>
    </row>
    <row r="501">
      <c r="A501" s="18">
        <f>IF(B501="","","A"&amp;TEXT(ROW()-1,"000"))</f>
        <v/>
      </c>
      <c r="I501" s="19" t="n"/>
      <c r="N501" s="18">
        <f>IF(A501="","",SUMIFS(Ventas!$F:$F,Ventas!$C:$C,A501))</f>
        <v/>
      </c>
      <c r="O501" s="18">
        <f>IF(A501="","",SUMIFS(Clases!$I:$I,Clases!$C:$C,A501,Clases!$J:$J,"&lt;&gt;Reprogramada"))</f>
        <v/>
      </c>
      <c r="P501" s="18">
        <f>IF(A501="","",N501-O501)</f>
        <v/>
      </c>
      <c r="Q501" s="20">
        <f>IF(A501="","",SUMIFS(Ventas!$I:$I,Ventas!$C:$C,A501))</f>
        <v/>
      </c>
      <c r="R501" s="20">
        <f>IF(A501="","",SUMIFS(Pagos!$E:$E,Pagos!$C:$C,A501))</f>
        <v/>
      </c>
      <c r="S501" s="20">
        <f>IF(A501="","",Q501-R501)</f>
        <v/>
      </c>
    </row>
  </sheetData>
  <conditionalFormatting sqref="P2:P501">
    <cfRule type="expression" priority="1" dxfId="1">
      <formula>AND(P2&lt;&gt;"",P2&lt;=2)</formula>
    </cfRule>
  </conditionalFormatting>
  <conditionalFormatting sqref="S2:S501">
    <cfRule type="cellIs" priority="2" operator="greaterThan" dxfId="0">
      <formula>0</formula>
    </cfRule>
  </conditionalFormatting>
  <dataValidations count="3">
    <dataValidation sqref="E2:E501" showDropDown="0" showInputMessage="0" showErrorMessage="0" allowBlank="1" type="list">
      <formula1>Listas!$A$2:$A$4</formula1>
    </dataValidation>
    <dataValidation sqref="G2:G501" showDropDown="0" showInputMessage="0" showErrorMessage="0" allowBlank="1" type="list">
      <formula1>Listas!$B$2:$B$7</formula1>
    </dataValidation>
    <dataValidation sqref="M2:M501" showDropDown="0" showInputMessage="0" showErrorMessage="0" allowBlank="1" type="list">
      <formula1>Listas!$G$2:$G$5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A2A6"/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2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28" customWidth="1" min="14" max="14"/>
  </cols>
  <sheetData>
    <row r="1" ht="32" customHeight="1">
      <c r="A1" s="16" t="inlineStr">
        <is>
          <t>ID venta</t>
        </is>
      </c>
      <c r="B1" s="17" t="inlineStr">
        <is>
          <t>Fecha</t>
        </is>
      </c>
      <c r="C1" s="17" t="inlineStr">
        <is>
          <t>ID alumno</t>
        </is>
      </c>
      <c r="D1" s="16" t="inlineStr">
        <is>
          <t>Alumno</t>
        </is>
      </c>
      <c r="E1" s="17" t="inlineStr">
        <is>
          <t>Código producto</t>
        </is>
      </c>
      <c r="F1" s="16" t="inlineStr">
        <is>
          <t>Horas</t>
        </is>
      </c>
      <c r="G1" s="16" t="inlineStr">
        <is>
          <t>Precio lista (S/)</t>
        </is>
      </c>
      <c r="H1" s="17" t="inlineStr">
        <is>
          <t>Descuento (S/)</t>
        </is>
      </c>
      <c r="I1" s="16" t="inlineStr">
        <is>
          <t>Total (S/)</t>
        </is>
      </c>
      <c r="J1" s="16" t="inlineStr">
        <is>
          <t>Pagado (S/)</t>
        </is>
      </c>
      <c r="K1" s="16" t="inlineStr">
        <is>
          <t>Saldo (S/)</t>
        </is>
      </c>
      <c r="L1" s="16" t="inlineStr">
        <is>
          <t>Vence (60 días)</t>
        </is>
      </c>
      <c r="M1" s="17" t="inlineStr">
        <is>
          <t>Código campaña</t>
        </is>
      </c>
      <c r="N1" s="17" t="inlineStr">
        <is>
          <t>Notas</t>
        </is>
      </c>
    </row>
    <row r="2">
      <c r="A2" s="18">
        <f>IF(C2="","","V"&amp;TEXT(ROW()-1,"000"))</f>
        <v/>
      </c>
      <c r="B2" s="19" t="n"/>
      <c r="D2" s="18">
        <f>IFERROR(VLOOKUP(C2,Alumnos!$A:$B,2,FALSE),"")</f>
        <v/>
      </c>
      <c r="F2" s="18">
        <f>IFERROR(VLOOKUP(E2,Catalogo!$A$2:$H$60,4,FALSE),"")</f>
        <v/>
      </c>
      <c r="G2" s="20">
        <f>IFERROR(VLOOKUP(E2,Catalogo!$A$2:$H$60,5,FALSE),"")</f>
        <v/>
      </c>
      <c r="H2" s="21" t="n"/>
      <c r="I2" s="20">
        <f>IF(G2="","",G2-H2)</f>
        <v/>
      </c>
      <c r="J2" s="20">
        <f>IF(A2="","",SUMIFS(Pagos!$E:$E,Pagos!$D:$D,A2))</f>
        <v/>
      </c>
      <c r="K2" s="20">
        <f>IF(A2="","",I2-J2)</f>
        <v/>
      </c>
      <c r="L2" s="22">
        <f>IF(B2="","",B2+60)</f>
        <v/>
      </c>
    </row>
    <row r="3">
      <c r="A3" s="18">
        <f>IF(C3="","","V"&amp;TEXT(ROW()-1,"000"))</f>
        <v/>
      </c>
      <c r="B3" s="19" t="n"/>
      <c r="D3" s="18">
        <f>IFERROR(VLOOKUP(C3,Alumnos!$A:$B,2,FALSE),"")</f>
        <v/>
      </c>
      <c r="F3" s="18">
        <f>IFERROR(VLOOKUP(E3,Catalogo!$A$2:$H$60,4,FALSE),"")</f>
        <v/>
      </c>
      <c r="G3" s="20">
        <f>IFERROR(VLOOKUP(E3,Catalogo!$A$2:$H$60,5,FALSE),"")</f>
        <v/>
      </c>
      <c r="H3" s="21" t="n"/>
      <c r="I3" s="20">
        <f>IF(G3="","",G3-H3)</f>
        <v/>
      </c>
      <c r="J3" s="20">
        <f>IF(A3="","",SUMIFS(Pagos!$E:$E,Pagos!$D:$D,A3))</f>
        <v/>
      </c>
      <c r="K3" s="20">
        <f>IF(A3="","",I3-J3)</f>
        <v/>
      </c>
      <c r="L3" s="22">
        <f>IF(B3="","",B3+60)</f>
        <v/>
      </c>
    </row>
    <row r="4">
      <c r="A4" s="18">
        <f>IF(C4="","","V"&amp;TEXT(ROW()-1,"000"))</f>
        <v/>
      </c>
      <c r="B4" s="19" t="n"/>
      <c r="D4" s="18">
        <f>IFERROR(VLOOKUP(C4,Alumnos!$A:$B,2,FALSE),"")</f>
        <v/>
      </c>
      <c r="F4" s="18">
        <f>IFERROR(VLOOKUP(E4,Catalogo!$A$2:$H$60,4,FALSE),"")</f>
        <v/>
      </c>
      <c r="G4" s="20">
        <f>IFERROR(VLOOKUP(E4,Catalogo!$A$2:$H$60,5,FALSE),"")</f>
        <v/>
      </c>
      <c r="H4" s="21" t="n"/>
      <c r="I4" s="20">
        <f>IF(G4="","",G4-H4)</f>
        <v/>
      </c>
      <c r="J4" s="20">
        <f>IF(A4="","",SUMIFS(Pagos!$E:$E,Pagos!$D:$D,A4))</f>
        <v/>
      </c>
      <c r="K4" s="20">
        <f>IF(A4="","",I4-J4)</f>
        <v/>
      </c>
      <c r="L4" s="22">
        <f>IF(B4="","",B4+60)</f>
        <v/>
      </c>
    </row>
    <row r="5">
      <c r="A5" s="18">
        <f>IF(C5="","","V"&amp;TEXT(ROW()-1,"000"))</f>
        <v/>
      </c>
      <c r="B5" s="19" t="n"/>
      <c r="D5" s="18">
        <f>IFERROR(VLOOKUP(C5,Alumnos!$A:$B,2,FALSE),"")</f>
        <v/>
      </c>
      <c r="F5" s="18">
        <f>IFERROR(VLOOKUP(E5,Catalogo!$A$2:$H$60,4,FALSE),"")</f>
        <v/>
      </c>
      <c r="G5" s="20">
        <f>IFERROR(VLOOKUP(E5,Catalogo!$A$2:$H$60,5,FALSE),"")</f>
        <v/>
      </c>
      <c r="H5" s="21" t="n"/>
      <c r="I5" s="20">
        <f>IF(G5="","",G5-H5)</f>
        <v/>
      </c>
      <c r="J5" s="20">
        <f>IF(A5="","",SUMIFS(Pagos!$E:$E,Pagos!$D:$D,A5))</f>
        <v/>
      </c>
      <c r="K5" s="20">
        <f>IF(A5="","",I5-J5)</f>
        <v/>
      </c>
      <c r="L5" s="22">
        <f>IF(B5="","",B5+60)</f>
        <v/>
      </c>
    </row>
    <row r="6">
      <c r="A6" s="18">
        <f>IF(C6="","","V"&amp;TEXT(ROW()-1,"000"))</f>
        <v/>
      </c>
      <c r="B6" s="19" t="n"/>
      <c r="D6" s="18">
        <f>IFERROR(VLOOKUP(C6,Alumnos!$A:$B,2,FALSE),"")</f>
        <v/>
      </c>
      <c r="F6" s="18">
        <f>IFERROR(VLOOKUP(E6,Catalogo!$A$2:$H$60,4,FALSE),"")</f>
        <v/>
      </c>
      <c r="G6" s="20">
        <f>IFERROR(VLOOKUP(E6,Catalogo!$A$2:$H$60,5,FALSE),"")</f>
        <v/>
      </c>
      <c r="H6" s="21" t="n"/>
      <c r="I6" s="20">
        <f>IF(G6="","",G6-H6)</f>
        <v/>
      </c>
      <c r="J6" s="20">
        <f>IF(A6="","",SUMIFS(Pagos!$E:$E,Pagos!$D:$D,A6))</f>
        <v/>
      </c>
      <c r="K6" s="20">
        <f>IF(A6="","",I6-J6)</f>
        <v/>
      </c>
      <c r="L6" s="22">
        <f>IF(B6="","",B6+60)</f>
        <v/>
      </c>
    </row>
    <row r="7">
      <c r="A7" s="18">
        <f>IF(C7="","","V"&amp;TEXT(ROW()-1,"000"))</f>
        <v/>
      </c>
      <c r="B7" s="19" t="n"/>
      <c r="D7" s="18">
        <f>IFERROR(VLOOKUP(C7,Alumnos!$A:$B,2,FALSE),"")</f>
        <v/>
      </c>
      <c r="F7" s="18">
        <f>IFERROR(VLOOKUP(E7,Catalogo!$A$2:$H$60,4,FALSE),"")</f>
        <v/>
      </c>
      <c r="G7" s="20">
        <f>IFERROR(VLOOKUP(E7,Catalogo!$A$2:$H$60,5,FALSE),"")</f>
        <v/>
      </c>
      <c r="H7" s="21" t="n"/>
      <c r="I7" s="20">
        <f>IF(G7="","",G7-H7)</f>
        <v/>
      </c>
      <c r="J7" s="20">
        <f>IF(A7="","",SUMIFS(Pagos!$E:$E,Pagos!$D:$D,A7))</f>
        <v/>
      </c>
      <c r="K7" s="20">
        <f>IF(A7="","",I7-J7)</f>
        <v/>
      </c>
      <c r="L7" s="22">
        <f>IF(B7="","",B7+60)</f>
        <v/>
      </c>
    </row>
    <row r="8">
      <c r="A8" s="18">
        <f>IF(C8="","","V"&amp;TEXT(ROW()-1,"000"))</f>
        <v/>
      </c>
      <c r="B8" s="19" t="n"/>
      <c r="D8" s="18">
        <f>IFERROR(VLOOKUP(C8,Alumnos!$A:$B,2,FALSE),"")</f>
        <v/>
      </c>
      <c r="F8" s="18">
        <f>IFERROR(VLOOKUP(E8,Catalogo!$A$2:$H$60,4,FALSE),"")</f>
        <v/>
      </c>
      <c r="G8" s="20">
        <f>IFERROR(VLOOKUP(E8,Catalogo!$A$2:$H$60,5,FALSE),"")</f>
        <v/>
      </c>
      <c r="H8" s="21" t="n"/>
      <c r="I8" s="20">
        <f>IF(G8="","",G8-H8)</f>
        <v/>
      </c>
      <c r="J8" s="20">
        <f>IF(A8="","",SUMIFS(Pagos!$E:$E,Pagos!$D:$D,A8))</f>
        <v/>
      </c>
      <c r="K8" s="20">
        <f>IF(A8="","",I8-J8)</f>
        <v/>
      </c>
      <c r="L8" s="22">
        <f>IF(B8="","",B8+60)</f>
        <v/>
      </c>
    </row>
    <row r="9">
      <c r="A9" s="18">
        <f>IF(C9="","","V"&amp;TEXT(ROW()-1,"000"))</f>
        <v/>
      </c>
      <c r="B9" s="19" t="n"/>
      <c r="D9" s="18">
        <f>IFERROR(VLOOKUP(C9,Alumnos!$A:$B,2,FALSE),"")</f>
        <v/>
      </c>
      <c r="F9" s="18">
        <f>IFERROR(VLOOKUP(E9,Catalogo!$A$2:$H$60,4,FALSE),"")</f>
        <v/>
      </c>
      <c r="G9" s="20">
        <f>IFERROR(VLOOKUP(E9,Catalogo!$A$2:$H$60,5,FALSE),"")</f>
        <v/>
      </c>
      <c r="H9" s="21" t="n"/>
      <c r="I9" s="20">
        <f>IF(G9="","",G9-H9)</f>
        <v/>
      </c>
      <c r="J9" s="20">
        <f>IF(A9="","",SUMIFS(Pagos!$E:$E,Pagos!$D:$D,A9))</f>
        <v/>
      </c>
      <c r="K9" s="20">
        <f>IF(A9="","",I9-J9)</f>
        <v/>
      </c>
      <c r="L9" s="22">
        <f>IF(B9="","",B9+60)</f>
        <v/>
      </c>
    </row>
    <row r="10">
      <c r="A10" s="18">
        <f>IF(C10="","","V"&amp;TEXT(ROW()-1,"000"))</f>
        <v/>
      </c>
      <c r="B10" s="19" t="n"/>
      <c r="D10" s="18">
        <f>IFERROR(VLOOKUP(C10,Alumnos!$A:$B,2,FALSE),"")</f>
        <v/>
      </c>
      <c r="F10" s="18">
        <f>IFERROR(VLOOKUP(E10,Catalogo!$A$2:$H$60,4,FALSE),"")</f>
        <v/>
      </c>
      <c r="G10" s="20">
        <f>IFERROR(VLOOKUP(E10,Catalogo!$A$2:$H$60,5,FALSE),"")</f>
        <v/>
      </c>
      <c r="H10" s="21" t="n"/>
      <c r="I10" s="20">
        <f>IF(G10="","",G10-H10)</f>
        <v/>
      </c>
      <c r="J10" s="20">
        <f>IF(A10="","",SUMIFS(Pagos!$E:$E,Pagos!$D:$D,A10))</f>
        <v/>
      </c>
      <c r="K10" s="20">
        <f>IF(A10="","",I10-J10)</f>
        <v/>
      </c>
      <c r="L10" s="22">
        <f>IF(B10="","",B10+60)</f>
        <v/>
      </c>
    </row>
    <row r="11">
      <c r="A11" s="18">
        <f>IF(C11="","","V"&amp;TEXT(ROW()-1,"000"))</f>
        <v/>
      </c>
      <c r="B11" s="19" t="n"/>
      <c r="D11" s="18">
        <f>IFERROR(VLOOKUP(C11,Alumnos!$A:$B,2,FALSE),"")</f>
        <v/>
      </c>
      <c r="F11" s="18">
        <f>IFERROR(VLOOKUP(E11,Catalogo!$A$2:$H$60,4,FALSE),"")</f>
        <v/>
      </c>
      <c r="G11" s="20">
        <f>IFERROR(VLOOKUP(E11,Catalogo!$A$2:$H$60,5,FALSE),"")</f>
        <v/>
      </c>
      <c r="H11" s="21" t="n"/>
      <c r="I11" s="20">
        <f>IF(G11="","",G11-H11)</f>
        <v/>
      </c>
      <c r="J11" s="20">
        <f>IF(A11="","",SUMIFS(Pagos!$E:$E,Pagos!$D:$D,A11))</f>
        <v/>
      </c>
      <c r="K11" s="20">
        <f>IF(A11="","",I11-J11)</f>
        <v/>
      </c>
      <c r="L11" s="22">
        <f>IF(B11="","",B11+60)</f>
        <v/>
      </c>
    </row>
    <row r="12">
      <c r="A12" s="18">
        <f>IF(C12="","","V"&amp;TEXT(ROW()-1,"000"))</f>
        <v/>
      </c>
      <c r="B12" s="19" t="n"/>
      <c r="D12" s="18">
        <f>IFERROR(VLOOKUP(C12,Alumnos!$A:$B,2,FALSE),"")</f>
        <v/>
      </c>
      <c r="F12" s="18">
        <f>IFERROR(VLOOKUP(E12,Catalogo!$A$2:$H$60,4,FALSE),"")</f>
        <v/>
      </c>
      <c r="G12" s="20">
        <f>IFERROR(VLOOKUP(E12,Catalogo!$A$2:$H$60,5,FALSE),"")</f>
        <v/>
      </c>
      <c r="H12" s="21" t="n"/>
      <c r="I12" s="20">
        <f>IF(G12="","",G12-H12)</f>
        <v/>
      </c>
      <c r="J12" s="20">
        <f>IF(A12="","",SUMIFS(Pagos!$E:$E,Pagos!$D:$D,A12))</f>
        <v/>
      </c>
      <c r="K12" s="20">
        <f>IF(A12="","",I12-J12)</f>
        <v/>
      </c>
      <c r="L12" s="22">
        <f>IF(B12="","",B12+60)</f>
        <v/>
      </c>
    </row>
    <row r="13">
      <c r="A13" s="18">
        <f>IF(C13="","","V"&amp;TEXT(ROW()-1,"000"))</f>
        <v/>
      </c>
      <c r="B13" s="19" t="n"/>
      <c r="D13" s="18">
        <f>IFERROR(VLOOKUP(C13,Alumnos!$A:$B,2,FALSE),"")</f>
        <v/>
      </c>
      <c r="F13" s="18">
        <f>IFERROR(VLOOKUP(E13,Catalogo!$A$2:$H$60,4,FALSE),"")</f>
        <v/>
      </c>
      <c r="G13" s="20">
        <f>IFERROR(VLOOKUP(E13,Catalogo!$A$2:$H$60,5,FALSE),"")</f>
        <v/>
      </c>
      <c r="H13" s="21" t="n"/>
      <c r="I13" s="20">
        <f>IF(G13="","",G13-H13)</f>
        <v/>
      </c>
      <c r="J13" s="20">
        <f>IF(A13="","",SUMIFS(Pagos!$E:$E,Pagos!$D:$D,A13))</f>
        <v/>
      </c>
      <c r="K13" s="20">
        <f>IF(A13="","",I13-J13)</f>
        <v/>
      </c>
      <c r="L13" s="22">
        <f>IF(B13="","",B13+60)</f>
        <v/>
      </c>
    </row>
    <row r="14">
      <c r="A14" s="18">
        <f>IF(C14="","","V"&amp;TEXT(ROW()-1,"000"))</f>
        <v/>
      </c>
      <c r="B14" s="19" t="n"/>
      <c r="D14" s="18">
        <f>IFERROR(VLOOKUP(C14,Alumnos!$A:$B,2,FALSE),"")</f>
        <v/>
      </c>
      <c r="F14" s="18">
        <f>IFERROR(VLOOKUP(E14,Catalogo!$A$2:$H$60,4,FALSE),"")</f>
        <v/>
      </c>
      <c r="G14" s="20">
        <f>IFERROR(VLOOKUP(E14,Catalogo!$A$2:$H$60,5,FALSE),"")</f>
        <v/>
      </c>
      <c r="H14" s="21" t="n"/>
      <c r="I14" s="20">
        <f>IF(G14="","",G14-H14)</f>
        <v/>
      </c>
      <c r="J14" s="20">
        <f>IF(A14="","",SUMIFS(Pagos!$E:$E,Pagos!$D:$D,A14))</f>
        <v/>
      </c>
      <c r="K14" s="20">
        <f>IF(A14="","",I14-J14)</f>
        <v/>
      </c>
      <c r="L14" s="22">
        <f>IF(B14="","",B14+60)</f>
        <v/>
      </c>
    </row>
    <row r="15">
      <c r="A15" s="18">
        <f>IF(C15="","","V"&amp;TEXT(ROW()-1,"000"))</f>
        <v/>
      </c>
      <c r="B15" s="19" t="n"/>
      <c r="D15" s="18">
        <f>IFERROR(VLOOKUP(C15,Alumnos!$A:$B,2,FALSE),"")</f>
        <v/>
      </c>
      <c r="F15" s="18">
        <f>IFERROR(VLOOKUP(E15,Catalogo!$A$2:$H$60,4,FALSE),"")</f>
        <v/>
      </c>
      <c r="G15" s="20">
        <f>IFERROR(VLOOKUP(E15,Catalogo!$A$2:$H$60,5,FALSE),"")</f>
        <v/>
      </c>
      <c r="H15" s="21" t="n"/>
      <c r="I15" s="20">
        <f>IF(G15="","",G15-H15)</f>
        <v/>
      </c>
      <c r="J15" s="20">
        <f>IF(A15="","",SUMIFS(Pagos!$E:$E,Pagos!$D:$D,A15))</f>
        <v/>
      </c>
      <c r="K15" s="20">
        <f>IF(A15="","",I15-J15)</f>
        <v/>
      </c>
      <c r="L15" s="22">
        <f>IF(B15="","",B15+60)</f>
        <v/>
      </c>
    </row>
    <row r="16">
      <c r="A16" s="18">
        <f>IF(C16="","","V"&amp;TEXT(ROW()-1,"000"))</f>
        <v/>
      </c>
      <c r="B16" s="19" t="n"/>
      <c r="D16" s="18">
        <f>IFERROR(VLOOKUP(C16,Alumnos!$A:$B,2,FALSE),"")</f>
        <v/>
      </c>
      <c r="F16" s="18">
        <f>IFERROR(VLOOKUP(E16,Catalogo!$A$2:$H$60,4,FALSE),"")</f>
        <v/>
      </c>
      <c r="G16" s="20">
        <f>IFERROR(VLOOKUP(E16,Catalogo!$A$2:$H$60,5,FALSE),"")</f>
        <v/>
      </c>
      <c r="H16" s="21" t="n"/>
      <c r="I16" s="20">
        <f>IF(G16="","",G16-H16)</f>
        <v/>
      </c>
      <c r="J16" s="20">
        <f>IF(A16="","",SUMIFS(Pagos!$E:$E,Pagos!$D:$D,A16))</f>
        <v/>
      </c>
      <c r="K16" s="20">
        <f>IF(A16="","",I16-J16)</f>
        <v/>
      </c>
      <c r="L16" s="22">
        <f>IF(B16="","",B16+60)</f>
        <v/>
      </c>
    </row>
    <row r="17">
      <c r="A17" s="18">
        <f>IF(C17="","","V"&amp;TEXT(ROW()-1,"000"))</f>
        <v/>
      </c>
      <c r="B17" s="19" t="n"/>
      <c r="D17" s="18">
        <f>IFERROR(VLOOKUP(C17,Alumnos!$A:$B,2,FALSE),"")</f>
        <v/>
      </c>
      <c r="F17" s="18">
        <f>IFERROR(VLOOKUP(E17,Catalogo!$A$2:$H$60,4,FALSE),"")</f>
        <v/>
      </c>
      <c r="G17" s="20">
        <f>IFERROR(VLOOKUP(E17,Catalogo!$A$2:$H$60,5,FALSE),"")</f>
        <v/>
      </c>
      <c r="H17" s="21" t="n"/>
      <c r="I17" s="20">
        <f>IF(G17="","",G17-H17)</f>
        <v/>
      </c>
      <c r="J17" s="20">
        <f>IF(A17="","",SUMIFS(Pagos!$E:$E,Pagos!$D:$D,A17))</f>
        <v/>
      </c>
      <c r="K17" s="20">
        <f>IF(A17="","",I17-J17)</f>
        <v/>
      </c>
      <c r="L17" s="22">
        <f>IF(B17="","",B17+60)</f>
        <v/>
      </c>
    </row>
    <row r="18">
      <c r="A18" s="18">
        <f>IF(C18="","","V"&amp;TEXT(ROW()-1,"000"))</f>
        <v/>
      </c>
      <c r="B18" s="19" t="n"/>
      <c r="D18" s="18">
        <f>IFERROR(VLOOKUP(C18,Alumnos!$A:$B,2,FALSE),"")</f>
        <v/>
      </c>
      <c r="F18" s="18">
        <f>IFERROR(VLOOKUP(E18,Catalogo!$A$2:$H$60,4,FALSE),"")</f>
        <v/>
      </c>
      <c r="G18" s="20">
        <f>IFERROR(VLOOKUP(E18,Catalogo!$A$2:$H$60,5,FALSE),"")</f>
        <v/>
      </c>
      <c r="H18" s="21" t="n"/>
      <c r="I18" s="20">
        <f>IF(G18="","",G18-H18)</f>
        <v/>
      </c>
      <c r="J18" s="20">
        <f>IF(A18="","",SUMIFS(Pagos!$E:$E,Pagos!$D:$D,A18))</f>
        <v/>
      </c>
      <c r="K18" s="20">
        <f>IF(A18="","",I18-J18)</f>
        <v/>
      </c>
      <c r="L18" s="22">
        <f>IF(B18="","",B18+60)</f>
        <v/>
      </c>
    </row>
    <row r="19">
      <c r="A19" s="18">
        <f>IF(C19="","","V"&amp;TEXT(ROW()-1,"000"))</f>
        <v/>
      </c>
      <c r="B19" s="19" t="n"/>
      <c r="D19" s="18">
        <f>IFERROR(VLOOKUP(C19,Alumnos!$A:$B,2,FALSE),"")</f>
        <v/>
      </c>
      <c r="F19" s="18">
        <f>IFERROR(VLOOKUP(E19,Catalogo!$A$2:$H$60,4,FALSE),"")</f>
        <v/>
      </c>
      <c r="G19" s="20">
        <f>IFERROR(VLOOKUP(E19,Catalogo!$A$2:$H$60,5,FALSE),"")</f>
        <v/>
      </c>
      <c r="H19" s="21" t="n"/>
      <c r="I19" s="20">
        <f>IF(G19="","",G19-H19)</f>
        <v/>
      </c>
      <c r="J19" s="20">
        <f>IF(A19="","",SUMIFS(Pagos!$E:$E,Pagos!$D:$D,A19))</f>
        <v/>
      </c>
      <c r="K19" s="20">
        <f>IF(A19="","",I19-J19)</f>
        <v/>
      </c>
      <c r="L19" s="22">
        <f>IF(B19="","",B19+60)</f>
        <v/>
      </c>
    </row>
    <row r="20">
      <c r="A20" s="18">
        <f>IF(C20="","","V"&amp;TEXT(ROW()-1,"000"))</f>
        <v/>
      </c>
      <c r="B20" s="19" t="n"/>
      <c r="D20" s="18">
        <f>IFERROR(VLOOKUP(C20,Alumnos!$A:$B,2,FALSE),"")</f>
        <v/>
      </c>
      <c r="F20" s="18">
        <f>IFERROR(VLOOKUP(E20,Catalogo!$A$2:$H$60,4,FALSE),"")</f>
        <v/>
      </c>
      <c r="G20" s="20">
        <f>IFERROR(VLOOKUP(E20,Catalogo!$A$2:$H$60,5,FALSE),"")</f>
        <v/>
      </c>
      <c r="H20" s="21" t="n"/>
      <c r="I20" s="20">
        <f>IF(G20="","",G20-H20)</f>
        <v/>
      </c>
      <c r="J20" s="20">
        <f>IF(A20="","",SUMIFS(Pagos!$E:$E,Pagos!$D:$D,A20))</f>
        <v/>
      </c>
      <c r="K20" s="20">
        <f>IF(A20="","",I20-J20)</f>
        <v/>
      </c>
      <c r="L20" s="22">
        <f>IF(B20="","",B20+60)</f>
        <v/>
      </c>
    </row>
    <row r="21">
      <c r="A21" s="18">
        <f>IF(C21="","","V"&amp;TEXT(ROW()-1,"000"))</f>
        <v/>
      </c>
      <c r="B21" s="19" t="n"/>
      <c r="D21" s="18">
        <f>IFERROR(VLOOKUP(C21,Alumnos!$A:$B,2,FALSE),"")</f>
        <v/>
      </c>
      <c r="F21" s="18">
        <f>IFERROR(VLOOKUP(E21,Catalogo!$A$2:$H$60,4,FALSE),"")</f>
        <v/>
      </c>
      <c r="G21" s="20">
        <f>IFERROR(VLOOKUP(E21,Catalogo!$A$2:$H$60,5,FALSE),"")</f>
        <v/>
      </c>
      <c r="H21" s="21" t="n"/>
      <c r="I21" s="20">
        <f>IF(G21="","",G21-H21)</f>
        <v/>
      </c>
      <c r="J21" s="20">
        <f>IF(A21="","",SUMIFS(Pagos!$E:$E,Pagos!$D:$D,A21))</f>
        <v/>
      </c>
      <c r="K21" s="20">
        <f>IF(A21="","",I21-J21)</f>
        <v/>
      </c>
      <c r="L21" s="22">
        <f>IF(B21="","",B21+60)</f>
        <v/>
      </c>
    </row>
    <row r="22">
      <c r="A22" s="18">
        <f>IF(C22="","","V"&amp;TEXT(ROW()-1,"000"))</f>
        <v/>
      </c>
      <c r="B22" s="19" t="n"/>
      <c r="D22" s="18">
        <f>IFERROR(VLOOKUP(C22,Alumnos!$A:$B,2,FALSE),"")</f>
        <v/>
      </c>
      <c r="F22" s="18">
        <f>IFERROR(VLOOKUP(E22,Catalogo!$A$2:$H$60,4,FALSE),"")</f>
        <v/>
      </c>
      <c r="G22" s="20">
        <f>IFERROR(VLOOKUP(E22,Catalogo!$A$2:$H$60,5,FALSE),"")</f>
        <v/>
      </c>
      <c r="H22" s="21" t="n"/>
      <c r="I22" s="20">
        <f>IF(G22="","",G22-H22)</f>
        <v/>
      </c>
      <c r="J22" s="20">
        <f>IF(A22="","",SUMIFS(Pagos!$E:$E,Pagos!$D:$D,A22))</f>
        <v/>
      </c>
      <c r="K22" s="20">
        <f>IF(A22="","",I22-J22)</f>
        <v/>
      </c>
      <c r="L22" s="22">
        <f>IF(B22="","",B22+60)</f>
        <v/>
      </c>
    </row>
    <row r="23">
      <c r="A23" s="18">
        <f>IF(C23="","","V"&amp;TEXT(ROW()-1,"000"))</f>
        <v/>
      </c>
      <c r="B23" s="19" t="n"/>
      <c r="D23" s="18">
        <f>IFERROR(VLOOKUP(C23,Alumnos!$A:$B,2,FALSE),"")</f>
        <v/>
      </c>
      <c r="F23" s="18">
        <f>IFERROR(VLOOKUP(E23,Catalogo!$A$2:$H$60,4,FALSE),"")</f>
        <v/>
      </c>
      <c r="G23" s="20">
        <f>IFERROR(VLOOKUP(E23,Catalogo!$A$2:$H$60,5,FALSE),"")</f>
        <v/>
      </c>
      <c r="H23" s="21" t="n"/>
      <c r="I23" s="20">
        <f>IF(G23="","",G23-H23)</f>
        <v/>
      </c>
      <c r="J23" s="20">
        <f>IF(A23="","",SUMIFS(Pagos!$E:$E,Pagos!$D:$D,A23))</f>
        <v/>
      </c>
      <c r="K23" s="20">
        <f>IF(A23="","",I23-J23)</f>
        <v/>
      </c>
      <c r="L23" s="22">
        <f>IF(B23="","",B23+60)</f>
        <v/>
      </c>
    </row>
    <row r="24">
      <c r="A24" s="18">
        <f>IF(C24="","","V"&amp;TEXT(ROW()-1,"000"))</f>
        <v/>
      </c>
      <c r="B24" s="19" t="n"/>
      <c r="D24" s="18">
        <f>IFERROR(VLOOKUP(C24,Alumnos!$A:$B,2,FALSE),"")</f>
        <v/>
      </c>
      <c r="F24" s="18">
        <f>IFERROR(VLOOKUP(E24,Catalogo!$A$2:$H$60,4,FALSE),"")</f>
        <v/>
      </c>
      <c r="G24" s="20">
        <f>IFERROR(VLOOKUP(E24,Catalogo!$A$2:$H$60,5,FALSE),"")</f>
        <v/>
      </c>
      <c r="H24" s="21" t="n"/>
      <c r="I24" s="20">
        <f>IF(G24="","",G24-H24)</f>
        <v/>
      </c>
      <c r="J24" s="20">
        <f>IF(A24="","",SUMIFS(Pagos!$E:$E,Pagos!$D:$D,A24))</f>
        <v/>
      </c>
      <c r="K24" s="20">
        <f>IF(A24="","",I24-J24)</f>
        <v/>
      </c>
      <c r="L24" s="22">
        <f>IF(B24="","",B24+60)</f>
        <v/>
      </c>
    </row>
    <row r="25">
      <c r="A25" s="18">
        <f>IF(C25="","","V"&amp;TEXT(ROW()-1,"000"))</f>
        <v/>
      </c>
      <c r="B25" s="19" t="n"/>
      <c r="D25" s="18">
        <f>IFERROR(VLOOKUP(C25,Alumnos!$A:$B,2,FALSE),"")</f>
        <v/>
      </c>
      <c r="F25" s="18">
        <f>IFERROR(VLOOKUP(E25,Catalogo!$A$2:$H$60,4,FALSE),"")</f>
        <v/>
      </c>
      <c r="G25" s="20">
        <f>IFERROR(VLOOKUP(E25,Catalogo!$A$2:$H$60,5,FALSE),"")</f>
        <v/>
      </c>
      <c r="H25" s="21" t="n"/>
      <c r="I25" s="20">
        <f>IF(G25="","",G25-H25)</f>
        <v/>
      </c>
      <c r="J25" s="20">
        <f>IF(A25="","",SUMIFS(Pagos!$E:$E,Pagos!$D:$D,A25))</f>
        <v/>
      </c>
      <c r="K25" s="20">
        <f>IF(A25="","",I25-J25)</f>
        <v/>
      </c>
      <c r="L25" s="22">
        <f>IF(B25="","",B25+60)</f>
        <v/>
      </c>
    </row>
    <row r="26">
      <c r="A26" s="18">
        <f>IF(C26="","","V"&amp;TEXT(ROW()-1,"000"))</f>
        <v/>
      </c>
      <c r="B26" s="19" t="n"/>
      <c r="D26" s="18">
        <f>IFERROR(VLOOKUP(C26,Alumnos!$A:$B,2,FALSE),"")</f>
        <v/>
      </c>
      <c r="F26" s="18">
        <f>IFERROR(VLOOKUP(E26,Catalogo!$A$2:$H$60,4,FALSE),"")</f>
        <v/>
      </c>
      <c r="G26" s="20">
        <f>IFERROR(VLOOKUP(E26,Catalogo!$A$2:$H$60,5,FALSE),"")</f>
        <v/>
      </c>
      <c r="H26" s="21" t="n"/>
      <c r="I26" s="20">
        <f>IF(G26="","",G26-H26)</f>
        <v/>
      </c>
      <c r="J26" s="20">
        <f>IF(A26="","",SUMIFS(Pagos!$E:$E,Pagos!$D:$D,A26))</f>
        <v/>
      </c>
      <c r="K26" s="20">
        <f>IF(A26="","",I26-J26)</f>
        <v/>
      </c>
      <c r="L26" s="22">
        <f>IF(B26="","",B26+60)</f>
        <v/>
      </c>
    </row>
    <row r="27">
      <c r="A27" s="18">
        <f>IF(C27="","","V"&amp;TEXT(ROW()-1,"000"))</f>
        <v/>
      </c>
      <c r="B27" s="19" t="n"/>
      <c r="D27" s="18">
        <f>IFERROR(VLOOKUP(C27,Alumnos!$A:$B,2,FALSE),"")</f>
        <v/>
      </c>
      <c r="F27" s="18">
        <f>IFERROR(VLOOKUP(E27,Catalogo!$A$2:$H$60,4,FALSE),"")</f>
        <v/>
      </c>
      <c r="G27" s="20">
        <f>IFERROR(VLOOKUP(E27,Catalogo!$A$2:$H$60,5,FALSE),"")</f>
        <v/>
      </c>
      <c r="H27" s="21" t="n"/>
      <c r="I27" s="20">
        <f>IF(G27="","",G27-H27)</f>
        <v/>
      </c>
      <c r="J27" s="20">
        <f>IF(A27="","",SUMIFS(Pagos!$E:$E,Pagos!$D:$D,A27))</f>
        <v/>
      </c>
      <c r="K27" s="20">
        <f>IF(A27="","",I27-J27)</f>
        <v/>
      </c>
      <c r="L27" s="22">
        <f>IF(B27="","",B27+60)</f>
        <v/>
      </c>
    </row>
    <row r="28">
      <c r="A28" s="18">
        <f>IF(C28="","","V"&amp;TEXT(ROW()-1,"000"))</f>
        <v/>
      </c>
      <c r="B28" s="19" t="n"/>
      <c r="D28" s="18">
        <f>IFERROR(VLOOKUP(C28,Alumnos!$A:$B,2,FALSE),"")</f>
        <v/>
      </c>
      <c r="F28" s="18">
        <f>IFERROR(VLOOKUP(E28,Catalogo!$A$2:$H$60,4,FALSE),"")</f>
        <v/>
      </c>
      <c r="G28" s="20">
        <f>IFERROR(VLOOKUP(E28,Catalogo!$A$2:$H$60,5,FALSE),"")</f>
        <v/>
      </c>
      <c r="H28" s="21" t="n"/>
      <c r="I28" s="20">
        <f>IF(G28="","",G28-H28)</f>
        <v/>
      </c>
      <c r="J28" s="20">
        <f>IF(A28="","",SUMIFS(Pagos!$E:$E,Pagos!$D:$D,A28))</f>
        <v/>
      </c>
      <c r="K28" s="20">
        <f>IF(A28="","",I28-J28)</f>
        <v/>
      </c>
      <c r="L28" s="22">
        <f>IF(B28="","",B28+60)</f>
        <v/>
      </c>
    </row>
    <row r="29">
      <c r="A29" s="18">
        <f>IF(C29="","","V"&amp;TEXT(ROW()-1,"000"))</f>
        <v/>
      </c>
      <c r="B29" s="19" t="n"/>
      <c r="D29" s="18">
        <f>IFERROR(VLOOKUP(C29,Alumnos!$A:$B,2,FALSE),"")</f>
        <v/>
      </c>
      <c r="F29" s="18">
        <f>IFERROR(VLOOKUP(E29,Catalogo!$A$2:$H$60,4,FALSE),"")</f>
        <v/>
      </c>
      <c r="G29" s="20">
        <f>IFERROR(VLOOKUP(E29,Catalogo!$A$2:$H$60,5,FALSE),"")</f>
        <v/>
      </c>
      <c r="H29" s="21" t="n"/>
      <c r="I29" s="20">
        <f>IF(G29="","",G29-H29)</f>
        <v/>
      </c>
      <c r="J29" s="20">
        <f>IF(A29="","",SUMIFS(Pagos!$E:$E,Pagos!$D:$D,A29))</f>
        <v/>
      </c>
      <c r="K29" s="20">
        <f>IF(A29="","",I29-J29)</f>
        <v/>
      </c>
      <c r="L29" s="22">
        <f>IF(B29="","",B29+60)</f>
        <v/>
      </c>
    </row>
    <row r="30">
      <c r="A30" s="18">
        <f>IF(C30="","","V"&amp;TEXT(ROW()-1,"000"))</f>
        <v/>
      </c>
      <c r="B30" s="19" t="n"/>
      <c r="D30" s="18">
        <f>IFERROR(VLOOKUP(C30,Alumnos!$A:$B,2,FALSE),"")</f>
        <v/>
      </c>
      <c r="F30" s="18">
        <f>IFERROR(VLOOKUP(E30,Catalogo!$A$2:$H$60,4,FALSE),"")</f>
        <v/>
      </c>
      <c r="G30" s="20">
        <f>IFERROR(VLOOKUP(E30,Catalogo!$A$2:$H$60,5,FALSE),"")</f>
        <v/>
      </c>
      <c r="H30" s="21" t="n"/>
      <c r="I30" s="20">
        <f>IF(G30="","",G30-H30)</f>
        <v/>
      </c>
      <c r="J30" s="20">
        <f>IF(A30="","",SUMIFS(Pagos!$E:$E,Pagos!$D:$D,A30))</f>
        <v/>
      </c>
      <c r="K30" s="20">
        <f>IF(A30="","",I30-J30)</f>
        <v/>
      </c>
      <c r="L30" s="22">
        <f>IF(B30="","",B30+60)</f>
        <v/>
      </c>
    </row>
    <row r="31">
      <c r="A31" s="18">
        <f>IF(C31="","","V"&amp;TEXT(ROW()-1,"000"))</f>
        <v/>
      </c>
      <c r="B31" s="19" t="n"/>
      <c r="D31" s="18">
        <f>IFERROR(VLOOKUP(C31,Alumnos!$A:$B,2,FALSE),"")</f>
        <v/>
      </c>
      <c r="F31" s="18">
        <f>IFERROR(VLOOKUP(E31,Catalogo!$A$2:$H$60,4,FALSE),"")</f>
        <v/>
      </c>
      <c r="G31" s="20">
        <f>IFERROR(VLOOKUP(E31,Catalogo!$A$2:$H$60,5,FALSE),"")</f>
        <v/>
      </c>
      <c r="H31" s="21" t="n"/>
      <c r="I31" s="20">
        <f>IF(G31="","",G31-H31)</f>
        <v/>
      </c>
      <c r="J31" s="20">
        <f>IF(A31="","",SUMIFS(Pagos!$E:$E,Pagos!$D:$D,A31))</f>
        <v/>
      </c>
      <c r="K31" s="20">
        <f>IF(A31="","",I31-J31)</f>
        <v/>
      </c>
      <c r="L31" s="22">
        <f>IF(B31="","",B31+60)</f>
        <v/>
      </c>
    </row>
    <row r="32">
      <c r="A32" s="18">
        <f>IF(C32="","","V"&amp;TEXT(ROW()-1,"000"))</f>
        <v/>
      </c>
      <c r="B32" s="19" t="n"/>
      <c r="D32" s="18">
        <f>IFERROR(VLOOKUP(C32,Alumnos!$A:$B,2,FALSE),"")</f>
        <v/>
      </c>
      <c r="F32" s="18">
        <f>IFERROR(VLOOKUP(E32,Catalogo!$A$2:$H$60,4,FALSE),"")</f>
        <v/>
      </c>
      <c r="G32" s="20">
        <f>IFERROR(VLOOKUP(E32,Catalogo!$A$2:$H$60,5,FALSE),"")</f>
        <v/>
      </c>
      <c r="H32" s="21" t="n"/>
      <c r="I32" s="20">
        <f>IF(G32="","",G32-H32)</f>
        <v/>
      </c>
      <c r="J32" s="20">
        <f>IF(A32="","",SUMIFS(Pagos!$E:$E,Pagos!$D:$D,A32))</f>
        <v/>
      </c>
      <c r="K32" s="20">
        <f>IF(A32="","",I32-J32)</f>
        <v/>
      </c>
      <c r="L32" s="22">
        <f>IF(B32="","",B32+60)</f>
        <v/>
      </c>
    </row>
    <row r="33">
      <c r="A33" s="18">
        <f>IF(C33="","","V"&amp;TEXT(ROW()-1,"000"))</f>
        <v/>
      </c>
      <c r="B33" s="19" t="n"/>
      <c r="D33" s="18">
        <f>IFERROR(VLOOKUP(C33,Alumnos!$A:$B,2,FALSE),"")</f>
        <v/>
      </c>
      <c r="F33" s="18">
        <f>IFERROR(VLOOKUP(E33,Catalogo!$A$2:$H$60,4,FALSE),"")</f>
        <v/>
      </c>
      <c r="G33" s="20">
        <f>IFERROR(VLOOKUP(E33,Catalogo!$A$2:$H$60,5,FALSE),"")</f>
        <v/>
      </c>
      <c r="H33" s="21" t="n"/>
      <c r="I33" s="20">
        <f>IF(G33="","",G33-H33)</f>
        <v/>
      </c>
      <c r="J33" s="20">
        <f>IF(A33="","",SUMIFS(Pagos!$E:$E,Pagos!$D:$D,A33))</f>
        <v/>
      </c>
      <c r="K33" s="20">
        <f>IF(A33="","",I33-J33)</f>
        <v/>
      </c>
      <c r="L33" s="22">
        <f>IF(B33="","",B33+60)</f>
        <v/>
      </c>
    </row>
    <row r="34">
      <c r="A34" s="18">
        <f>IF(C34="","","V"&amp;TEXT(ROW()-1,"000"))</f>
        <v/>
      </c>
      <c r="B34" s="19" t="n"/>
      <c r="D34" s="18">
        <f>IFERROR(VLOOKUP(C34,Alumnos!$A:$B,2,FALSE),"")</f>
        <v/>
      </c>
      <c r="F34" s="18">
        <f>IFERROR(VLOOKUP(E34,Catalogo!$A$2:$H$60,4,FALSE),"")</f>
        <v/>
      </c>
      <c r="G34" s="20">
        <f>IFERROR(VLOOKUP(E34,Catalogo!$A$2:$H$60,5,FALSE),"")</f>
        <v/>
      </c>
      <c r="H34" s="21" t="n"/>
      <c r="I34" s="20">
        <f>IF(G34="","",G34-H34)</f>
        <v/>
      </c>
      <c r="J34" s="20">
        <f>IF(A34="","",SUMIFS(Pagos!$E:$E,Pagos!$D:$D,A34))</f>
        <v/>
      </c>
      <c r="K34" s="20">
        <f>IF(A34="","",I34-J34)</f>
        <v/>
      </c>
      <c r="L34" s="22">
        <f>IF(B34="","",B34+60)</f>
        <v/>
      </c>
    </row>
    <row r="35">
      <c r="A35" s="18">
        <f>IF(C35="","","V"&amp;TEXT(ROW()-1,"000"))</f>
        <v/>
      </c>
      <c r="B35" s="19" t="n"/>
      <c r="D35" s="18">
        <f>IFERROR(VLOOKUP(C35,Alumnos!$A:$B,2,FALSE),"")</f>
        <v/>
      </c>
      <c r="F35" s="18">
        <f>IFERROR(VLOOKUP(E35,Catalogo!$A$2:$H$60,4,FALSE),"")</f>
        <v/>
      </c>
      <c r="G35" s="20">
        <f>IFERROR(VLOOKUP(E35,Catalogo!$A$2:$H$60,5,FALSE),"")</f>
        <v/>
      </c>
      <c r="H35" s="21" t="n"/>
      <c r="I35" s="20">
        <f>IF(G35="","",G35-H35)</f>
        <v/>
      </c>
      <c r="J35" s="20">
        <f>IF(A35="","",SUMIFS(Pagos!$E:$E,Pagos!$D:$D,A35))</f>
        <v/>
      </c>
      <c r="K35" s="20">
        <f>IF(A35="","",I35-J35)</f>
        <v/>
      </c>
      <c r="L35" s="22">
        <f>IF(B35="","",B35+60)</f>
        <v/>
      </c>
    </row>
    <row r="36">
      <c r="A36" s="18">
        <f>IF(C36="","","V"&amp;TEXT(ROW()-1,"000"))</f>
        <v/>
      </c>
      <c r="B36" s="19" t="n"/>
      <c r="D36" s="18">
        <f>IFERROR(VLOOKUP(C36,Alumnos!$A:$B,2,FALSE),"")</f>
        <v/>
      </c>
      <c r="F36" s="18">
        <f>IFERROR(VLOOKUP(E36,Catalogo!$A$2:$H$60,4,FALSE),"")</f>
        <v/>
      </c>
      <c r="G36" s="20">
        <f>IFERROR(VLOOKUP(E36,Catalogo!$A$2:$H$60,5,FALSE),"")</f>
        <v/>
      </c>
      <c r="H36" s="21" t="n"/>
      <c r="I36" s="20">
        <f>IF(G36="","",G36-H36)</f>
        <v/>
      </c>
      <c r="J36" s="20">
        <f>IF(A36="","",SUMIFS(Pagos!$E:$E,Pagos!$D:$D,A36))</f>
        <v/>
      </c>
      <c r="K36" s="20">
        <f>IF(A36="","",I36-J36)</f>
        <v/>
      </c>
      <c r="L36" s="22">
        <f>IF(B36="","",B36+60)</f>
        <v/>
      </c>
    </row>
    <row r="37">
      <c r="A37" s="18">
        <f>IF(C37="","","V"&amp;TEXT(ROW()-1,"000"))</f>
        <v/>
      </c>
      <c r="B37" s="19" t="n"/>
      <c r="D37" s="18">
        <f>IFERROR(VLOOKUP(C37,Alumnos!$A:$B,2,FALSE),"")</f>
        <v/>
      </c>
      <c r="F37" s="18">
        <f>IFERROR(VLOOKUP(E37,Catalogo!$A$2:$H$60,4,FALSE),"")</f>
        <v/>
      </c>
      <c r="G37" s="20">
        <f>IFERROR(VLOOKUP(E37,Catalogo!$A$2:$H$60,5,FALSE),"")</f>
        <v/>
      </c>
      <c r="H37" s="21" t="n"/>
      <c r="I37" s="20">
        <f>IF(G37="","",G37-H37)</f>
        <v/>
      </c>
      <c r="J37" s="20">
        <f>IF(A37="","",SUMIFS(Pagos!$E:$E,Pagos!$D:$D,A37))</f>
        <v/>
      </c>
      <c r="K37" s="20">
        <f>IF(A37="","",I37-J37)</f>
        <v/>
      </c>
      <c r="L37" s="22">
        <f>IF(B37="","",B37+60)</f>
        <v/>
      </c>
    </row>
    <row r="38">
      <c r="A38" s="18">
        <f>IF(C38="","","V"&amp;TEXT(ROW()-1,"000"))</f>
        <v/>
      </c>
      <c r="B38" s="19" t="n"/>
      <c r="D38" s="18">
        <f>IFERROR(VLOOKUP(C38,Alumnos!$A:$B,2,FALSE),"")</f>
        <v/>
      </c>
      <c r="F38" s="18">
        <f>IFERROR(VLOOKUP(E38,Catalogo!$A$2:$H$60,4,FALSE),"")</f>
        <v/>
      </c>
      <c r="G38" s="20">
        <f>IFERROR(VLOOKUP(E38,Catalogo!$A$2:$H$60,5,FALSE),"")</f>
        <v/>
      </c>
      <c r="H38" s="21" t="n"/>
      <c r="I38" s="20">
        <f>IF(G38="","",G38-H38)</f>
        <v/>
      </c>
      <c r="J38" s="20">
        <f>IF(A38="","",SUMIFS(Pagos!$E:$E,Pagos!$D:$D,A38))</f>
        <v/>
      </c>
      <c r="K38" s="20">
        <f>IF(A38="","",I38-J38)</f>
        <v/>
      </c>
      <c r="L38" s="22">
        <f>IF(B38="","",B38+60)</f>
        <v/>
      </c>
    </row>
    <row r="39">
      <c r="A39" s="18">
        <f>IF(C39="","","V"&amp;TEXT(ROW()-1,"000"))</f>
        <v/>
      </c>
      <c r="B39" s="19" t="n"/>
      <c r="D39" s="18">
        <f>IFERROR(VLOOKUP(C39,Alumnos!$A:$B,2,FALSE),"")</f>
        <v/>
      </c>
      <c r="F39" s="18">
        <f>IFERROR(VLOOKUP(E39,Catalogo!$A$2:$H$60,4,FALSE),"")</f>
        <v/>
      </c>
      <c r="G39" s="20">
        <f>IFERROR(VLOOKUP(E39,Catalogo!$A$2:$H$60,5,FALSE),"")</f>
        <v/>
      </c>
      <c r="H39" s="21" t="n"/>
      <c r="I39" s="20">
        <f>IF(G39="","",G39-H39)</f>
        <v/>
      </c>
      <c r="J39" s="20">
        <f>IF(A39="","",SUMIFS(Pagos!$E:$E,Pagos!$D:$D,A39))</f>
        <v/>
      </c>
      <c r="K39" s="20">
        <f>IF(A39="","",I39-J39)</f>
        <v/>
      </c>
      <c r="L39" s="22">
        <f>IF(B39="","",B39+60)</f>
        <v/>
      </c>
    </row>
    <row r="40">
      <c r="A40" s="18">
        <f>IF(C40="","","V"&amp;TEXT(ROW()-1,"000"))</f>
        <v/>
      </c>
      <c r="B40" s="19" t="n"/>
      <c r="D40" s="18">
        <f>IFERROR(VLOOKUP(C40,Alumnos!$A:$B,2,FALSE),"")</f>
        <v/>
      </c>
      <c r="F40" s="18">
        <f>IFERROR(VLOOKUP(E40,Catalogo!$A$2:$H$60,4,FALSE),"")</f>
        <v/>
      </c>
      <c r="G40" s="20">
        <f>IFERROR(VLOOKUP(E40,Catalogo!$A$2:$H$60,5,FALSE),"")</f>
        <v/>
      </c>
      <c r="H40" s="21" t="n"/>
      <c r="I40" s="20">
        <f>IF(G40="","",G40-H40)</f>
        <v/>
      </c>
      <c r="J40" s="20">
        <f>IF(A40="","",SUMIFS(Pagos!$E:$E,Pagos!$D:$D,A40))</f>
        <v/>
      </c>
      <c r="K40" s="20">
        <f>IF(A40="","",I40-J40)</f>
        <v/>
      </c>
      <c r="L40" s="22">
        <f>IF(B40="","",B40+60)</f>
        <v/>
      </c>
    </row>
    <row r="41">
      <c r="A41" s="18">
        <f>IF(C41="","","V"&amp;TEXT(ROW()-1,"000"))</f>
        <v/>
      </c>
      <c r="B41" s="19" t="n"/>
      <c r="D41" s="18">
        <f>IFERROR(VLOOKUP(C41,Alumnos!$A:$B,2,FALSE),"")</f>
        <v/>
      </c>
      <c r="F41" s="18">
        <f>IFERROR(VLOOKUP(E41,Catalogo!$A$2:$H$60,4,FALSE),"")</f>
        <v/>
      </c>
      <c r="G41" s="20">
        <f>IFERROR(VLOOKUP(E41,Catalogo!$A$2:$H$60,5,FALSE),"")</f>
        <v/>
      </c>
      <c r="H41" s="21" t="n"/>
      <c r="I41" s="20">
        <f>IF(G41="","",G41-H41)</f>
        <v/>
      </c>
      <c r="J41" s="20">
        <f>IF(A41="","",SUMIFS(Pagos!$E:$E,Pagos!$D:$D,A41))</f>
        <v/>
      </c>
      <c r="K41" s="20">
        <f>IF(A41="","",I41-J41)</f>
        <v/>
      </c>
      <c r="L41" s="22">
        <f>IF(B41="","",B41+60)</f>
        <v/>
      </c>
    </row>
    <row r="42">
      <c r="A42" s="18">
        <f>IF(C42="","","V"&amp;TEXT(ROW()-1,"000"))</f>
        <v/>
      </c>
      <c r="B42" s="19" t="n"/>
      <c r="D42" s="18">
        <f>IFERROR(VLOOKUP(C42,Alumnos!$A:$B,2,FALSE),"")</f>
        <v/>
      </c>
      <c r="F42" s="18">
        <f>IFERROR(VLOOKUP(E42,Catalogo!$A$2:$H$60,4,FALSE),"")</f>
        <v/>
      </c>
      <c r="G42" s="20">
        <f>IFERROR(VLOOKUP(E42,Catalogo!$A$2:$H$60,5,FALSE),"")</f>
        <v/>
      </c>
      <c r="H42" s="21" t="n"/>
      <c r="I42" s="20">
        <f>IF(G42="","",G42-H42)</f>
        <v/>
      </c>
      <c r="J42" s="20">
        <f>IF(A42="","",SUMIFS(Pagos!$E:$E,Pagos!$D:$D,A42))</f>
        <v/>
      </c>
      <c r="K42" s="20">
        <f>IF(A42="","",I42-J42)</f>
        <v/>
      </c>
      <c r="L42" s="22">
        <f>IF(B42="","",B42+60)</f>
        <v/>
      </c>
    </row>
    <row r="43">
      <c r="A43" s="18">
        <f>IF(C43="","","V"&amp;TEXT(ROW()-1,"000"))</f>
        <v/>
      </c>
      <c r="B43" s="19" t="n"/>
      <c r="D43" s="18">
        <f>IFERROR(VLOOKUP(C43,Alumnos!$A:$B,2,FALSE),"")</f>
        <v/>
      </c>
      <c r="F43" s="18">
        <f>IFERROR(VLOOKUP(E43,Catalogo!$A$2:$H$60,4,FALSE),"")</f>
        <v/>
      </c>
      <c r="G43" s="20">
        <f>IFERROR(VLOOKUP(E43,Catalogo!$A$2:$H$60,5,FALSE),"")</f>
        <v/>
      </c>
      <c r="H43" s="21" t="n"/>
      <c r="I43" s="20">
        <f>IF(G43="","",G43-H43)</f>
        <v/>
      </c>
      <c r="J43" s="20">
        <f>IF(A43="","",SUMIFS(Pagos!$E:$E,Pagos!$D:$D,A43))</f>
        <v/>
      </c>
      <c r="K43" s="20">
        <f>IF(A43="","",I43-J43)</f>
        <v/>
      </c>
      <c r="L43" s="22">
        <f>IF(B43="","",B43+60)</f>
        <v/>
      </c>
    </row>
    <row r="44">
      <c r="A44" s="18">
        <f>IF(C44="","","V"&amp;TEXT(ROW()-1,"000"))</f>
        <v/>
      </c>
      <c r="B44" s="19" t="n"/>
      <c r="D44" s="18">
        <f>IFERROR(VLOOKUP(C44,Alumnos!$A:$B,2,FALSE),"")</f>
        <v/>
      </c>
      <c r="F44" s="18">
        <f>IFERROR(VLOOKUP(E44,Catalogo!$A$2:$H$60,4,FALSE),"")</f>
        <v/>
      </c>
      <c r="G44" s="20">
        <f>IFERROR(VLOOKUP(E44,Catalogo!$A$2:$H$60,5,FALSE),"")</f>
        <v/>
      </c>
      <c r="H44" s="21" t="n"/>
      <c r="I44" s="20">
        <f>IF(G44="","",G44-H44)</f>
        <v/>
      </c>
      <c r="J44" s="20">
        <f>IF(A44="","",SUMIFS(Pagos!$E:$E,Pagos!$D:$D,A44))</f>
        <v/>
      </c>
      <c r="K44" s="20">
        <f>IF(A44="","",I44-J44)</f>
        <v/>
      </c>
      <c r="L44" s="22">
        <f>IF(B44="","",B44+60)</f>
        <v/>
      </c>
    </row>
    <row r="45">
      <c r="A45" s="18">
        <f>IF(C45="","","V"&amp;TEXT(ROW()-1,"000"))</f>
        <v/>
      </c>
      <c r="B45" s="19" t="n"/>
      <c r="D45" s="18">
        <f>IFERROR(VLOOKUP(C45,Alumnos!$A:$B,2,FALSE),"")</f>
        <v/>
      </c>
      <c r="F45" s="18">
        <f>IFERROR(VLOOKUP(E45,Catalogo!$A$2:$H$60,4,FALSE),"")</f>
        <v/>
      </c>
      <c r="G45" s="20">
        <f>IFERROR(VLOOKUP(E45,Catalogo!$A$2:$H$60,5,FALSE),"")</f>
        <v/>
      </c>
      <c r="H45" s="21" t="n"/>
      <c r="I45" s="20">
        <f>IF(G45="","",G45-H45)</f>
        <v/>
      </c>
      <c r="J45" s="20">
        <f>IF(A45="","",SUMIFS(Pagos!$E:$E,Pagos!$D:$D,A45))</f>
        <v/>
      </c>
      <c r="K45" s="20">
        <f>IF(A45="","",I45-J45)</f>
        <v/>
      </c>
      <c r="L45" s="22">
        <f>IF(B45="","",B45+60)</f>
        <v/>
      </c>
    </row>
    <row r="46">
      <c r="A46" s="18">
        <f>IF(C46="","","V"&amp;TEXT(ROW()-1,"000"))</f>
        <v/>
      </c>
      <c r="B46" s="19" t="n"/>
      <c r="D46" s="18">
        <f>IFERROR(VLOOKUP(C46,Alumnos!$A:$B,2,FALSE),"")</f>
        <v/>
      </c>
      <c r="F46" s="18">
        <f>IFERROR(VLOOKUP(E46,Catalogo!$A$2:$H$60,4,FALSE),"")</f>
        <v/>
      </c>
      <c r="G46" s="20">
        <f>IFERROR(VLOOKUP(E46,Catalogo!$A$2:$H$60,5,FALSE),"")</f>
        <v/>
      </c>
      <c r="H46" s="21" t="n"/>
      <c r="I46" s="20">
        <f>IF(G46="","",G46-H46)</f>
        <v/>
      </c>
      <c r="J46" s="20">
        <f>IF(A46="","",SUMIFS(Pagos!$E:$E,Pagos!$D:$D,A46))</f>
        <v/>
      </c>
      <c r="K46" s="20">
        <f>IF(A46="","",I46-J46)</f>
        <v/>
      </c>
      <c r="L46" s="22">
        <f>IF(B46="","",B46+60)</f>
        <v/>
      </c>
    </row>
    <row r="47">
      <c r="A47" s="18">
        <f>IF(C47="","","V"&amp;TEXT(ROW()-1,"000"))</f>
        <v/>
      </c>
      <c r="B47" s="19" t="n"/>
      <c r="D47" s="18">
        <f>IFERROR(VLOOKUP(C47,Alumnos!$A:$B,2,FALSE),"")</f>
        <v/>
      </c>
      <c r="F47" s="18">
        <f>IFERROR(VLOOKUP(E47,Catalogo!$A$2:$H$60,4,FALSE),"")</f>
        <v/>
      </c>
      <c r="G47" s="20">
        <f>IFERROR(VLOOKUP(E47,Catalogo!$A$2:$H$60,5,FALSE),"")</f>
        <v/>
      </c>
      <c r="H47" s="21" t="n"/>
      <c r="I47" s="20">
        <f>IF(G47="","",G47-H47)</f>
        <v/>
      </c>
      <c r="J47" s="20">
        <f>IF(A47="","",SUMIFS(Pagos!$E:$E,Pagos!$D:$D,A47))</f>
        <v/>
      </c>
      <c r="K47" s="20">
        <f>IF(A47="","",I47-J47)</f>
        <v/>
      </c>
      <c r="L47" s="22">
        <f>IF(B47="","",B47+60)</f>
        <v/>
      </c>
    </row>
    <row r="48">
      <c r="A48" s="18">
        <f>IF(C48="","","V"&amp;TEXT(ROW()-1,"000"))</f>
        <v/>
      </c>
      <c r="B48" s="19" t="n"/>
      <c r="D48" s="18">
        <f>IFERROR(VLOOKUP(C48,Alumnos!$A:$B,2,FALSE),"")</f>
        <v/>
      </c>
      <c r="F48" s="18">
        <f>IFERROR(VLOOKUP(E48,Catalogo!$A$2:$H$60,4,FALSE),"")</f>
        <v/>
      </c>
      <c r="G48" s="20">
        <f>IFERROR(VLOOKUP(E48,Catalogo!$A$2:$H$60,5,FALSE),"")</f>
        <v/>
      </c>
      <c r="H48" s="21" t="n"/>
      <c r="I48" s="20">
        <f>IF(G48="","",G48-H48)</f>
        <v/>
      </c>
      <c r="J48" s="20">
        <f>IF(A48="","",SUMIFS(Pagos!$E:$E,Pagos!$D:$D,A48))</f>
        <v/>
      </c>
      <c r="K48" s="20">
        <f>IF(A48="","",I48-J48)</f>
        <v/>
      </c>
      <c r="L48" s="22">
        <f>IF(B48="","",B48+60)</f>
        <v/>
      </c>
    </row>
    <row r="49">
      <c r="A49" s="18">
        <f>IF(C49="","","V"&amp;TEXT(ROW()-1,"000"))</f>
        <v/>
      </c>
      <c r="B49" s="19" t="n"/>
      <c r="D49" s="18">
        <f>IFERROR(VLOOKUP(C49,Alumnos!$A:$B,2,FALSE),"")</f>
        <v/>
      </c>
      <c r="F49" s="18">
        <f>IFERROR(VLOOKUP(E49,Catalogo!$A$2:$H$60,4,FALSE),"")</f>
        <v/>
      </c>
      <c r="G49" s="20">
        <f>IFERROR(VLOOKUP(E49,Catalogo!$A$2:$H$60,5,FALSE),"")</f>
        <v/>
      </c>
      <c r="H49" s="21" t="n"/>
      <c r="I49" s="20">
        <f>IF(G49="","",G49-H49)</f>
        <v/>
      </c>
      <c r="J49" s="20">
        <f>IF(A49="","",SUMIFS(Pagos!$E:$E,Pagos!$D:$D,A49))</f>
        <v/>
      </c>
      <c r="K49" s="20">
        <f>IF(A49="","",I49-J49)</f>
        <v/>
      </c>
      <c r="L49" s="22">
        <f>IF(B49="","",B49+60)</f>
        <v/>
      </c>
    </row>
    <row r="50">
      <c r="A50" s="18">
        <f>IF(C50="","","V"&amp;TEXT(ROW()-1,"000"))</f>
        <v/>
      </c>
      <c r="B50" s="19" t="n"/>
      <c r="D50" s="18">
        <f>IFERROR(VLOOKUP(C50,Alumnos!$A:$B,2,FALSE),"")</f>
        <v/>
      </c>
      <c r="F50" s="18">
        <f>IFERROR(VLOOKUP(E50,Catalogo!$A$2:$H$60,4,FALSE),"")</f>
        <v/>
      </c>
      <c r="G50" s="20">
        <f>IFERROR(VLOOKUP(E50,Catalogo!$A$2:$H$60,5,FALSE),"")</f>
        <v/>
      </c>
      <c r="H50" s="21" t="n"/>
      <c r="I50" s="20">
        <f>IF(G50="","",G50-H50)</f>
        <v/>
      </c>
      <c r="J50" s="20">
        <f>IF(A50="","",SUMIFS(Pagos!$E:$E,Pagos!$D:$D,A50))</f>
        <v/>
      </c>
      <c r="K50" s="20">
        <f>IF(A50="","",I50-J50)</f>
        <v/>
      </c>
      <c r="L50" s="22">
        <f>IF(B50="","",B50+60)</f>
        <v/>
      </c>
    </row>
    <row r="51">
      <c r="A51" s="18">
        <f>IF(C51="","","V"&amp;TEXT(ROW()-1,"000"))</f>
        <v/>
      </c>
      <c r="B51" s="19" t="n"/>
      <c r="D51" s="18">
        <f>IFERROR(VLOOKUP(C51,Alumnos!$A:$B,2,FALSE),"")</f>
        <v/>
      </c>
      <c r="F51" s="18">
        <f>IFERROR(VLOOKUP(E51,Catalogo!$A$2:$H$60,4,FALSE),"")</f>
        <v/>
      </c>
      <c r="G51" s="20">
        <f>IFERROR(VLOOKUP(E51,Catalogo!$A$2:$H$60,5,FALSE),"")</f>
        <v/>
      </c>
      <c r="H51" s="21" t="n"/>
      <c r="I51" s="20">
        <f>IF(G51="","",G51-H51)</f>
        <v/>
      </c>
      <c r="J51" s="20">
        <f>IF(A51="","",SUMIFS(Pagos!$E:$E,Pagos!$D:$D,A51))</f>
        <v/>
      </c>
      <c r="K51" s="20">
        <f>IF(A51="","",I51-J51)</f>
        <v/>
      </c>
      <c r="L51" s="22">
        <f>IF(B51="","",B51+60)</f>
        <v/>
      </c>
    </row>
    <row r="52">
      <c r="A52" s="18">
        <f>IF(C52="","","V"&amp;TEXT(ROW()-1,"000"))</f>
        <v/>
      </c>
      <c r="B52" s="19" t="n"/>
      <c r="D52" s="18">
        <f>IFERROR(VLOOKUP(C52,Alumnos!$A:$B,2,FALSE),"")</f>
        <v/>
      </c>
      <c r="F52" s="18">
        <f>IFERROR(VLOOKUP(E52,Catalogo!$A$2:$H$60,4,FALSE),"")</f>
        <v/>
      </c>
      <c r="G52" s="20">
        <f>IFERROR(VLOOKUP(E52,Catalogo!$A$2:$H$60,5,FALSE),"")</f>
        <v/>
      </c>
      <c r="H52" s="21" t="n"/>
      <c r="I52" s="20">
        <f>IF(G52="","",G52-H52)</f>
        <v/>
      </c>
      <c r="J52" s="20">
        <f>IF(A52="","",SUMIFS(Pagos!$E:$E,Pagos!$D:$D,A52))</f>
        <v/>
      </c>
      <c r="K52" s="20">
        <f>IF(A52="","",I52-J52)</f>
        <v/>
      </c>
      <c r="L52" s="22">
        <f>IF(B52="","",B52+60)</f>
        <v/>
      </c>
    </row>
    <row r="53">
      <c r="A53" s="18">
        <f>IF(C53="","","V"&amp;TEXT(ROW()-1,"000"))</f>
        <v/>
      </c>
      <c r="B53" s="19" t="n"/>
      <c r="D53" s="18">
        <f>IFERROR(VLOOKUP(C53,Alumnos!$A:$B,2,FALSE),"")</f>
        <v/>
      </c>
      <c r="F53" s="18">
        <f>IFERROR(VLOOKUP(E53,Catalogo!$A$2:$H$60,4,FALSE),"")</f>
        <v/>
      </c>
      <c r="G53" s="20">
        <f>IFERROR(VLOOKUP(E53,Catalogo!$A$2:$H$60,5,FALSE),"")</f>
        <v/>
      </c>
      <c r="H53" s="21" t="n"/>
      <c r="I53" s="20">
        <f>IF(G53="","",G53-H53)</f>
        <v/>
      </c>
      <c r="J53" s="20">
        <f>IF(A53="","",SUMIFS(Pagos!$E:$E,Pagos!$D:$D,A53))</f>
        <v/>
      </c>
      <c r="K53" s="20">
        <f>IF(A53="","",I53-J53)</f>
        <v/>
      </c>
      <c r="L53" s="22">
        <f>IF(B53="","",B53+60)</f>
        <v/>
      </c>
    </row>
    <row r="54">
      <c r="A54" s="18">
        <f>IF(C54="","","V"&amp;TEXT(ROW()-1,"000"))</f>
        <v/>
      </c>
      <c r="B54" s="19" t="n"/>
      <c r="D54" s="18">
        <f>IFERROR(VLOOKUP(C54,Alumnos!$A:$B,2,FALSE),"")</f>
        <v/>
      </c>
      <c r="F54" s="18">
        <f>IFERROR(VLOOKUP(E54,Catalogo!$A$2:$H$60,4,FALSE),"")</f>
        <v/>
      </c>
      <c r="G54" s="20">
        <f>IFERROR(VLOOKUP(E54,Catalogo!$A$2:$H$60,5,FALSE),"")</f>
        <v/>
      </c>
      <c r="H54" s="21" t="n"/>
      <c r="I54" s="20">
        <f>IF(G54="","",G54-H54)</f>
        <v/>
      </c>
      <c r="J54" s="20">
        <f>IF(A54="","",SUMIFS(Pagos!$E:$E,Pagos!$D:$D,A54))</f>
        <v/>
      </c>
      <c r="K54" s="20">
        <f>IF(A54="","",I54-J54)</f>
        <v/>
      </c>
      <c r="L54" s="22">
        <f>IF(B54="","",B54+60)</f>
        <v/>
      </c>
    </row>
    <row r="55">
      <c r="A55" s="18">
        <f>IF(C55="","","V"&amp;TEXT(ROW()-1,"000"))</f>
        <v/>
      </c>
      <c r="B55" s="19" t="n"/>
      <c r="D55" s="18">
        <f>IFERROR(VLOOKUP(C55,Alumnos!$A:$B,2,FALSE),"")</f>
        <v/>
      </c>
      <c r="F55" s="18">
        <f>IFERROR(VLOOKUP(E55,Catalogo!$A$2:$H$60,4,FALSE),"")</f>
        <v/>
      </c>
      <c r="G55" s="20">
        <f>IFERROR(VLOOKUP(E55,Catalogo!$A$2:$H$60,5,FALSE),"")</f>
        <v/>
      </c>
      <c r="H55" s="21" t="n"/>
      <c r="I55" s="20">
        <f>IF(G55="","",G55-H55)</f>
        <v/>
      </c>
      <c r="J55" s="20">
        <f>IF(A55="","",SUMIFS(Pagos!$E:$E,Pagos!$D:$D,A55))</f>
        <v/>
      </c>
      <c r="K55" s="20">
        <f>IF(A55="","",I55-J55)</f>
        <v/>
      </c>
      <c r="L55" s="22">
        <f>IF(B55="","",B55+60)</f>
        <v/>
      </c>
    </row>
    <row r="56">
      <c r="A56" s="18">
        <f>IF(C56="","","V"&amp;TEXT(ROW()-1,"000"))</f>
        <v/>
      </c>
      <c r="B56" s="19" t="n"/>
      <c r="D56" s="18">
        <f>IFERROR(VLOOKUP(C56,Alumnos!$A:$B,2,FALSE),"")</f>
        <v/>
      </c>
      <c r="F56" s="18">
        <f>IFERROR(VLOOKUP(E56,Catalogo!$A$2:$H$60,4,FALSE),"")</f>
        <v/>
      </c>
      <c r="G56" s="20">
        <f>IFERROR(VLOOKUP(E56,Catalogo!$A$2:$H$60,5,FALSE),"")</f>
        <v/>
      </c>
      <c r="H56" s="21" t="n"/>
      <c r="I56" s="20">
        <f>IF(G56="","",G56-H56)</f>
        <v/>
      </c>
      <c r="J56" s="20">
        <f>IF(A56="","",SUMIFS(Pagos!$E:$E,Pagos!$D:$D,A56))</f>
        <v/>
      </c>
      <c r="K56" s="20">
        <f>IF(A56="","",I56-J56)</f>
        <v/>
      </c>
      <c r="L56" s="22">
        <f>IF(B56="","",B56+60)</f>
        <v/>
      </c>
    </row>
    <row r="57">
      <c r="A57" s="18">
        <f>IF(C57="","","V"&amp;TEXT(ROW()-1,"000"))</f>
        <v/>
      </c>
      <c r="B57" s="19" t="n"/>
      <c r="D57" s="18">
        <f>IFERROR(VLOOKUP(C57,Alumnos!$A:$B,2,FALSE),"")</f>
        <v/>
      </c>
      <c r="F57" s="18">
        <f>IFERROR(VLOOKUP(E57,Catalogo!$A$2:$H$60,4,FALSE),"")</f>
        <v/>
      </c>
      <c r="G57" s="20">
        <f>IFERROR(VLOOKUP(E57,Catalogo!$A$2:$H$60,5,FALSE),"")</f>
        <v/>
      </c>
      <c r="H57" s="21" t="n"/>
      <c r="I57" s="20">
        <f>IF(G57="","",G57-H57)</f>
        <v/>
      </c>
      <c r="J57" s="20">
        <f>IF(A57="","",SUMIFS(Pagos!$E:$E,Pagos!$D:$D,A57))</f>
        <v/>
      </c>
      <c r="K57" s="20">
        <f>IF(A57="","",I57-J57)</f>
        <v/>
      </c>
      <c r="L57" s="22">
        <f>IF(B57="","",B57+60)</f>
        <v/>
      </c>
    </row>
    <row r="58">
      <c r="A58" s="18">
        <f>IF(C58="","","V"&amp;TEXT(ROW()-1,"000"))</f>
        <v/>
      </c>
      <c r="B58" s="19" t="n"/>
      <c r="D58" s="18">
        <f>IFERROR(VLOOKUP(C58,Alumnos!$A:$B,2,FALSE),"")</f>
        <v/>
      </c>
      <c r="F58" s="18">
        <f>IFERROR(VLOOKUP(E58,Catalogo!$A$2:$H$60,4,FALSE),"")</f>
        <v/>
      </c>
      <c r="G58" s="20">
        <f>IFERROR(VLOOKUP(E58,Catalogo!$A$2:$H$60,5,FALSE),"")</f>
        <v/>
      </c>
      <c r="H58" s="21" t="n"/>
      <c r="I58" s="20">
        <f>IF(G58="","",G58-H58)</f>
        <v/>
      </c>
      <c r="J58" s="20">
        <f>IF(A58="","",SUMIFS(Pagos!$E:$E,Pagos!$D:$D,A58))</f>
        <v/>
      </c>
      <c r="K58" s="20">
        <f>IF(A58="","",I58-J58)</f>
        <v/>
      </c>
      <c r="L58" s="22">
        <f>IF(B58="","",B58+60)</f>
        <v/>
      </c>
    </row>
    <row r="59">
      <c r="A59" s="18">
        <f>IF(C59="","","V"&amp;TEXT(ROW()-1,"000"))</f>
        <v/>
      </c>
      <c r="B59" s="19" t="n"/>
      <c r="D59" s="18">
        <f>IFERROR(VLOOKUP(C59,Alumnos!$A:$B,2,FALSE),"")</f>
        <v/>
      </c>
      <c r="F59" s="18">
        <f>IFERROR(VLOOKUP(E59,Catalogo!$A$2:$H$60,4,FALSE),"")</f>
        <v/>
      </c>
      <c r="G59" s="20">
        <f>IFERROR(VLOOKUP(E59,Catalogo!$A$2:$H$60,5,FALSE),"")</f>
        <v/>
      </c>
      <c r="H59" s="21" t="n"/>
      <c r="I59" s="20">
        <f>IF(G59="","",G59-H59)</f>
        <v/>
      </c>
      <c r="J59" s="20">
        <f>IF(A59="","",SUMIFS(Pagos!$E:$E,Pagos!$D:$D,A59))</f>
        <v/>
      </c>
      <c r="K59" s="20">
        <f>IF(A59="","",I59-J59)</f>
        <v/>
      </c>
      <c r="L59" s="22">
        <f>IF(B59="","",B59+60)</f>
        <v/>
      </c>
    </row>
    <row r="60">
      <c r="A60" s="18">
        <f>IF(C60="","","V"&amp;TEXT(ROW()-1,"000"))</f>
        <v/>
      </c>
      <c r="B60" s="19" t="n"/>
      <c r="D60" s="18">
        <f>IFERROR(VLOOKUP(C60,Alumnos!$A:$B,2,FALSE),"")</f>
        <v/>
      </c>
      <c r="F60" s="18">
        <f>IFERROR(VLOOKUP(E60,Catalogo!$A$2:$H$60,4,FALSE),"")</f>
        <v/>
      </c>
      <c r="G60" s="20">
        <f>IFERROR(VLOOKUP(E60,Catalogo!$A$2:$H$60,5,FALSE),"")</f>
        <v/>
      </c>
      <c r="H60" s="21" t="n"/>
      <c r="I60" s="20">
        <f>IF(G60="","",G60-H60)</f>
        <v/>
      </c>
      <c r="J60" s="20">
        <f>IF(A60="","",SUMIFS(Pagos!$E:$E,Pagos!$D:$D,A60))</f>
        <v/>
      </c>
      <c r="K60" s="20">
        <f>IF(A60="","",I60-J60)</f>
        <v/>
      </c>
      <c r="L60" s="22">
        <f>IF(B60="","",B60+60)</f>
        <v/>
      </c>
    </row>
    <row r="61">
      <c r="A61" s="18">
        <f>IF(C61="","","V"&amp;TEXT(ROW()-1,"000"))</f>
        <v/>
      </c>
      <c r="B61" s="19" t="n"/>
      <c r="D61" s="18">
        <f>IFERROR(VLOOKUP(C61,Alumnos!$A:$B,2,FALSE),"")</f>
        <v/>
      </c>
      <c r="F61" s="18">
        <f>IFERROR(VLOOKUP(E61,Catalogo!$A$2:$H$60,4,FALSE),"")</f>
        <v/>
      </c>
      <c r="G61" s="20">
        <f>IFERROR(VLOOKUP(E61,Catalogo!$A$2:$H$60,5,FALSE),"")</f>
        <v/>
      </c>
      <c r="H61" s="21" t="n"/>
      <c r="I61" s="20">
        <f>IF(G61="","",G61-H61)</f>
        <v/>
      </c>
      <c r="J61" s="20">
        <f>IF(A61="","",SUMIFS(Pagos!$E:$E,Pagos!$D:$D,A61))</f>
        <v/>
      </c>
      <c r="K61" s="20">
        <f>IF(A61="","",I61-J61)</f>
        <v/>
      </c>
      <c r="L61" s="22">
        <f>IF(B61="","",B61+60)</f>
        <v/>
      </c>
    </row>
    <row r="62">
      <c r="A62" s="18">
        <f>IF(C62="","","V"&amp;TEXT(ROW()-1,"000"))</f>
        <v/>
      </c>
      <c r="B62" s="19" t="n"/>
      <c r="D62" s="18">
        <f>IFERROR(VLOOKUP(C62,Alumnos!$A:$B,2,FALSE),"")</f>
        <v/>
      </c>
      <c r="F62" s="18">
        <f>IFERROR(VLOOKUP(E62,Catalogo!$A$2:$H$60,4,FALSE),"")</f>
        <v/>
      </c>
      <c r="G62" s="20">
        <f>IFERROR(VLOOKUP(E62,Catalogo!$A$2:$H$60,5,FALSE),"")</f>
        <v/>
      </c>
      <c r="H62" s="21" t="n"/>
      <c r="I62" s="20">
        <f>IF(G62="","",G62-H62)</f>
        <v/>
      </c>
      <c r="J62" s="20">
        <f>IF(A62="","",SUMIFS(Pagos!$E:$E,Pagos!$D:$D,A62))</f>
        <v/>
      </c>
      <c r="K62" s="20">
        <f>IF(A62="","",I62-J62)</f>
        <v/>
      </c>
      <c r="L62" s="22">
        <f>IF(B62="","",B62+60)</f>
        <v/>
      </c>
    </row>
    <row r="63">
      <c r="A63" s="18">
        <f>IF(C63="","","V"&amp;TEXT(ROW()-1,"000"))</f>
        <v/>
      </c>
      <c r="B63" s="19" t="n"/>
      <c r="D63" s="18">
        <f>IFERROR(VLOOKUP(C63,Alumnos!$A:$B,2,FALSE),"")</f>
        <v/>
      </c>
      <c r="F63" s="18">
        <f>IFERROR(VLOOKUP(E63,Catalogo!$A$2:$H$60,4,FALSE),"")</f>
        <v/>
      </c>
      <c r="G63" s="20">
        <f>IFERROR(VLOOKUP(E63,Catalogo!$A$2:$H$60,5,FALSE),"")</f>
        <v/>
      </c>
      <c r="H63" s="21" t="n"/>
      <c r="I63" s="20">
        <f>IF(G63="","",G63-H63)</f>
        <v/>
      </c>
      <c r="J63" s="20">
        <f>IF(A63="","",SUMIFS(Pagos!$E:$E,Pagos!$D:$D,A63))</f>
        <v/>
      </c>
      <c r="K63" s="20">
        <f>IF(A63="","",I63-J63)</f>
        <v/>
      </c>
      <c r="L63" s="22">
        <f>IF(B63="","",B63+60)</f>
        <v/>
      </c>
    </row>
    <row r="64">
      <c r="A64" s="18">
        <f>IF(C64="","","V"&amp;TEXT(ROW()-1,"000"))</f>
        <v/>
      </c>
      <c r="B64" s="19" t="n"/>
      <c r="D64" s="18">
        <f>IFERROR(VLOOKUP(C64,Alumnos!$A:$B,2,FALSE),"")</f>
        <v/>
      </c>
      <c r="F64" s="18">
        <f>IFERROR(VLOOKUP(E64,Catalogo!$A$2:$H$60,4,FALSE),"")</f>
        <v/>
      </c>
      <c r="G64" s="20">
        <f>IFERROR(VLOOKUP(E64,Catalogo!$A$2:$H$60,5,FALSE),"")</f>
        <v/>
      </c>
      <c r="H64" s="21" t="n"/>
      <c r="I64" s="20">
        <f>IF(G64="","",G64-H64)</f>
        <v/>
      </c>
      <c r="J64" s="20">
        <f>IF(A64="","",SUMIFS(Pagos!$E:$E,Pagos!$D:$D,A64))</f>
        <v/>
      </c>
      <c r="K64" s="20">
        <f>IF(A64="","",I64-J64)</f>
        <v/>
      </c>
      <c r="L64" s="22">
        <f>IF(B64="","",B64+60)</f>
        <v/>
      </c>
    </row>
    <row r="65">
      <c r="A65" s="18">
        <f>IF(C65="","","V"&amp;TEXT(ROW()-1,"000"))</f>
        <v/>
      </c>
      <c r="B65" s="19" t="n"/>
      <c r="D65" s="18">
        <f>IFERROR(VLOOKUP(C65,Alumnos!$A:$B,2,FALSE),"")</f>
        <v/>
      </c>
      <c r="F65" s="18">
        <f>IFERROR(VLOOKUP(E65,Catalogo!$A$2:$H$60,4,FALSE),"")</f>
        <v/>
      </c>
      <c r="G65" s="20">
        <f>IFERROR(VLOOKUP(E65,Catalogo!$A$2:$H$60,5,FALSE),"")</f>
        <v/>
      </c>
      <c r="H65" s="21" t="n"/>
      <c r="I65" s="20">
        <f>IF(G65="","",G65-H65)</f>
        <v/>
      </c>
      <c r="J65" s="20">
        <f>IF(A65="","",SUMIFS(Pagos!$E:$E,Pagos!$D:$D,A65))</f>
        <v/>
      </c>
      <c r="K65" s="20">
        <f>IF(A65="","",I65-J65)</f>
        <v/>
      </c>
      <c r="L65" s="22">
        <f>IF(B65="","",B65+60)</f>
        <v/>
      </c>
    </row>
    <row r="66">
      <c r="A66" s="18">
        <f>IF(C66="","","V"&amp;TEXT(ROW()-1,"000"))</f>
        <v/>
      </c>
      <c r="B66" s="19" t="n"/>
      <c r="D66" s="18">
        <f>IFERROR(VLOOKUP(C66,Alumnos!$A:$B,2,FALSE),"")</f>
        <v/>
      </c>
      <c r="F66" s="18">
        <f>IFERROR(VLOOKUP(E66,Catalogo!$A$2:$H$60,4,FALSE),"")</f>
        <v/>
      </c>
      <c r="G66" s="20">
        <f>IFERROR(VLOOKUP(E66,Catalogo!$A$2:$H$60,5,FALSE),"")</f>
        <v/>
      </c>
      <c r="H66" s="21" t="n"/>
      <c r="I66" s="20">
        <f>IF(G66="","",G66-H66)</f>
        <v/>
      </c>
      <c r="J66" s="20">
        <f>IF(A66="","",SUMIFS(Pagos!$E:$E,Pagos!$D:$D,A66))</f>
        <v/>
      </c>
      <c r="K66" s="20">
        <f>IF(A66="","",I66-J66)</f>
        <v/>
      </c>
      <c r="L66" s="22">
        <f>IF(B66="","",B66+60)</f>
        <v/>
      </c>
    </row>
    <row r="67">
      <c r="A67" s="18">
        <f>IF(C67="","","V"&amp;TEXT(ROW()-1,"000"))</f>
        <v/>
      </c>
      <c r="B67" s="19" t="n"/>
      <c r="D67" s="18">
        <f>IFERROR(VLOOKUP(C67,Alumnos!$A:$B,2,FALSE),"")</f>
        <v/>
      </c>
      <c r="F67" s="18">
        <f>IFERROR(VLOOKUP(E67,Catalogo!$A$2:$H$60,4,FALSE),"")</f>
        <v/>
      </c>
      <c r="G67" s="20">
        <f>IFERROR(VLOOKUP(E67,Catalogo!$A$2:$H$60,5,FALSE),"")</f>
        <v/>
      </c>
      <c r="H67" s="21" t="n"/>
      <c r="I67" s="20">
        <f>IF(G67="","",G67-H67)</f>
        <v/>
      </c>
      <c r="J67" s="20">
        <f>IF(A67="","",SUMIFS(Pagos!$E:$E,Pagos!$D:$D,A67))</f>
        <v/>
      </c>
      <c r="K67" s="20">
        <f>IF(A67="","",I67-J67)</f>
        <v/>
      </c>
      <c r="L67" s="22">
        <f>IF(B67="","",B67+60)</f>
        <v/>
      </c>
    </row>
    <row r="68">
      <c r="A68" s="18">
        <f>IF(C68="","","V"&amp;TEXT(ROW()-1,"000"))</f>
        <v/>
      </c>
      <c r="B68" s="19" t="n"/>
      <c r="D68" s="18">
        <f>IFERROR(VLOOKUP(C68,Alumnos!$A:$B,2,FALSE),"")</f>
        <v/>
      </c>
      <c r="F68" s="18">
        <f>IFERROR(VLOOKUP(E68,Catalogo!$A$2:$H$60,4,FALSE),"")</f>
        <v/>
      </c>
      <c r="G68" s="20">
        <f>IFERROR(VLOOKUP(E68,Catalogo!$A$2:$H$60,5,FALSE),"")</f>
        <v/>
      </c>
      <c r="H68" s="21" t="n"/>
      <c r="I68" s="20">
        <f>IF(G68="","",G68-H68)</f>
        <v/>
      </c>
      <c r="J68" s="20">
        <f>IF(A68="","",SUMIFS(Pagos!$E:$E,Pagos!$D:$D,A68))</f>
        <v/>
      </c>
      <c r="K68" s="20">
        <f>IF(A68="","",I68-J68)</f>
        <v/>
      </c>
      <c r="L68" s="22">
        <f>IF(B68="","",B68+60)</f>
        <v/>
      </c>
    </row>
    <row r="69">
      <c r="A69" s="18">
        <f>IF(C69="","","V"&amp;TEXT(ROW()-1,"000"))</f>
        <v/>
      </c>
      <c r="B69" s="19" t="n"/>
      <c r="D69" s="18">
        <f>IFERROR(VLOOKUP(C69,Alumnos!$A:$B,2,FALSE),"")</f>
        <v/>
      </c>
      <c r="F69" s="18">
        <f>IFERROR(VLOOKUP(E69,Catalogo!$A$2:$H$60,4,FALSE),"")</f>
        <v/>
      </c>
      <c r="G69" s="20">
        <f>IFERROR(VLOOKUP(E69,Catalogo!$A$2:$H$60,5,FALSE),"")</f>
        <v/>
      </c>
      <c r="H69" s="21" t="n"/>
      <c r="I69" s="20">
        <f>IF(G69="","",G69-H69)</f>
        <v/>
      </c>
      <c r="J69" s="20">
        <f>IF(A69="","",SUMIFS(Pagos!$E:$E,Pagos!$D:$D,A69))</f>
        <v/>
      </c>
      <c r="K69" s="20">
        <f>IF(A69="","",I69-J69)</f>
        <v/>
      </c>
      <c r="L69" s="22">
        <f>IF(B69="","",B69+60)</f>
        <v/>
      </c>
    </row>
    <row r="70">
      <c r="A70" s="18">
        <f>IF(C70="","","V"&amp;TEXT(ROW()-1,"000"))</f>
        <v/>
      </c>
      <c r="B70" s="19" t="n"/>
      <c r="D70" s="18">
        <f>IFERROR(VLOOKUP(C70,Alumnos!$A:$B,2,FALSE),"")</f>
        <v/>
      </c>
      <c r="F70" s="18">
        <f>IFERROR(VLOOKUP(E70,Catalogo!$A$2:$H$60,4,FALSE),"")</f>
        <v/>
      </c>
      <c r="G70" s="20">
        <f>IFERROR(VLOOKUP(E70,Catalogo!$A$2:$H$60,5,FALSE),"")</f>
        <v/>
      </c>
      <c r="H70" s="21" t="n"/>
      <c r="I70" s="20">
        <f>IF(G70="","",G70-H70)</f>
        <v/>
      </c>
      <c r="J70" s="20">
        <f>IF(A70="","",SUMIFS(Pagos!$E:$E,Pagos!$D:$D,A70))</f>
        <v/>
      </c>
      <c r="K70" s="20">
        <f>IF(A70="","",I70-J70)</f>
        <v/>
      </c>
      <c r="L70" s="22">
        <f>IF(B70="","",B70+60)</f>
        <v/>
      </c>
    </row>
    <row r="71">
      <c r="A71" s="18">
        <f>IF(C71="","","V"&amp;TEXT(ROW()-1,"000"))</f>
        <v/>
      </c>
      <c r="B71" s="19" t="n"/>
      <c r="D71" s="18">
        <f>IFERROR(VLOOKUP(C71,Alumnos!$A:$B,2,FALSE),"")</f>
        <v/>
      </c>
      <c r="F71" s="18">
        <f>IFERROR(VLOOKUP(E71,Catalogo!$A$2:$H$60,4,FALSE),"")</f>
        <v/>
      </c>
      <c r="G71" s="20">
        <f>IFERROR(VLOOKUP(E71,Catalogo!$A$2:$H$60,5,FALSE),"")</f>
        <v/>
      </c>
      <c r="H71" s="21" t="n"/>
      <c r="I71" s="20">
        <f>IF(G71="","",G71-H71)</f>
        <v/>
      </c>
      <c r="J71" s="20">
        <f>IF(A71="","",SUMIFS(Pagos!$E:$E,Pagos!$D:$D,A71))</f>
        <v/>
      </c>
      <c r="K71" s="20">
        <f>IF(A71="","",I71-J71)</f>
        <v/>
      </c>
      <c r="L71" s="22">
        <f>IF(B71="","",B71+60)</f>
        <v/>
      </c>
    </row>
    <row r="72">
      <c r="A72" s="18">
        <f>IF(C72="","","V"&amp;TEXT(ROW()-1,"000"))</f>
        <v/>
      </c>
      <c r="B72" s="19" t="n"/>
      <c r="D72" s="18">
        <f>IFERROR(VLOOKUP(C72,Alumnos!$A:$B,2,FALSE),"")</f>
        <v/>
      </c>
      <c r="F72" s="18">
        <f>IFERROR(VLOOKUP(E72,Catalogo!$A$2:$H$60,4,FALSE),"")</f>
        <v/>
      </c>
      <c r="G72" s="20">
        <f>IFERROR(VLOOKUP(E72,Catalogo!$A$2:$H$60,5,FALSE),"")</f>
        <v/>
      </c>
      <c r="H72" s="21" t="n"/>
      <c r="I72" s="20">
        <f>IF(G72="","",G72-H72)</f>
        <v/>
      </c>
      <c r="J72" s="20">
        <f>IF(A72="","",SUMIFS(Pagos!$E:$E,Pagos!$D:$D,A72))</f>
        <v/>
      </c>
      <c r="K72" s="20">
        <f>IF(A72="","",I72-J72)</f>
        <v/>
      </c>
      <c r="L72" s="22">
        <f>IF(B72="","",B72+60)</f>
        <v/>
      </c>
    </row>
    <row r="73">
      <c r="A73" s="18">
        <f>IF(C73="","","V"&amp;TEXT(ROW()-1,"000"))</f>
        <v/>
      </c>
      <c r="B73" s="19" t="n"/>
      <c r="D73" s="18">
        <f>IFERROR(VLOOKUP(C73,Alumnos!$A:$B,2,FALSE),"")</f>
        <v/>
      </c>
      <c r="F73" s="18">
        <f>IFERROR(VLOOKUP(E73,Catalogo!$A$2:$H$60,4,FALSE),"")</f>
        <v/>
      </c>
      <c r="G73" s="20">
        <f>IFERROR(VLOOKUP(E73,Catalogo!$A$2:$H$60,5,FALSE),"")</f>
        <v/>
      </c>
      <c r="H73" s="21" t="n"/>
      <c r="I73" s="20">
        <f>IF(G73="","",G73-H73)</f>
        <v/>
      </c>
      <c r="J73" s="20">
        <f>IF(A73="","",SUMIFS(Pagos!$E:$E,Pagos!$D:$D,A73))</f>
        <v/>
      </c>
      <c r="K73" s="20">
        <f>IF(A73="","",I73-J73)</f>
        <v/>
      </c>
      <c r="L73" s="22">
        <f>IF(B73="","",B73+60)</f>
        <v/>
      </c>
    </row>
    <row r="74">
      <c r="A74" s="18">
        <f>IF(C74="","","V"&amp;TEXT(ROW()-1,"000"))</f>
        <v/>
      </c>
      <c r="B74" s="19" t="n"/>
      <c r="D74" s="18">
        <f>IFERROR(VLOOKUP(C74,Alumnos!$A:$B,2,FALSE),"")</f>
        <v/>
      </c>
      <c r="F74" s="18">
        <f>IFERROR(VLOOKUP(E74,Catalogo!$A$2:$H$60,4,FALSE),"")</f>
        <v/>
      </c>
      <c r="G74" s="20">
        <f>IFERROR(VLOOKUP(E74,Catalogo!$A$2:$H$60,5,FALSE),"")</f>
        <v/>
      </c>
      <c r="H74" s="21" t="n"/>
      <c r="I74" s="20">
        <f>IF(G74="","",G74-H74)</f>
        <v/>
      </c>
      <c r="J74" s="20">
        <f>IF(A74="","",SUMIFS(Pagos!$E:$E,Pagos!$D:$D,A74))</f>
        <v/>
      </c>
      <c r="K74" s="20">
        <f>IF(A74="","",I74-J74)</f>
        <v/>
      </c>
      <c r="L74" s="22">
        <f>IF(B74="","",B74+60)</f>
        <v/>
      </c>
    </row>
    <row r="75">
      <c r="A75" s="18">
        <f>IF(C75="","","V"&amp;TEXT(ROW()-1,"000"))</f>
        <v/>
      </c>
      <c r="B75" s="19" t="n"/>
      <c r="D75" s="18">
        <f>IFERROR(VLOOKUP(C75,Alumnos!$A:$B,2,FALSE),"")</f>
        <v/>
      </c>
      <c r="F75" s="18">
        <f>IFERROR(VLOOKUP(E75,Catalogo!$A$2:$H$60,4,FALSE),"")</f>
        <v/>
      </c>
      <c r="G75" s="20">
        <f>IFERROR(VLOOKUP(E75,Catalogo!$A$2:$H$60,5,FALSE),"")</f>
        <v/>
      </c>
      <c r="H75" s="21" t="n"/>
      <c r="I75" s="20">
        <f>IF(G75="","",G75-H75)</f>
        <v/>
      </c>
      <c r="J75" s="20">
        <f>IF(A75="","",SUMIFS(Pagos!$E:$E,Pagos!$D:$D,A75))</f>
        <v/>
      </c>
      <c r="K75" s="20">
        <f>IF(A75="","",I75-J75)</f>
        <v/>
      </c>
      <c r="L75" s="22">
        <f>IF(B75="","",B75+60)</f>
        <v/>
      </c>
    </row>
    <row r="76">
      <c r="A76" s="18">
        <f>IF(C76="","","V"&amp;TEXT(ROW()-1,"000"))</f>
        <v/>
      </c>
      <c r="B76" s="19" t="n"/>
      <c r="D76" s="18">
        <f>IFERROR(VLOOKUP(C76,Alumnos!$A:$B,2,FALSE),"")</f>
        <v/>
      </c>
      <c r="F76" s="18">
        <f>IFERROR(VLOOKUP(E76,Catalogo!$A$2:$H$60,4,FALSE),"")</f>
        <v/>
      </c>
      <c r="G76" s="20">
        <f>IFERROR(VLOOKUP(E76,Catalogo!$A$2:$H$60,5,FALSE),"")</f>
        <v/>
      </c>
      <c r="H76" s="21" t="n"/>
      <c r="I76" s="20">
        <f>IF(G76="","",G76-H76)</f>
        <v/>
      </c>
      <c r="J76" s="20">
        <f>IF(A76="","",SUMIFS(Pagos!$E:$E,Pagos!$D:$D,A76))</f>
        <v/>
      </c>
      <c r="K76" s="20">
        <f>IF(A76="","",I76-J76)</f>
        <v/>
      </c>
      <c r="L76" s="22">
        <f>IF(B76="","",B76+60)</f>
        <v/>
      </c>
    </row>
    <row r="77">
      <c r="A77" s="18">
        <f>IF(C77="","","V"&amp;TEXT(ROW()-1,"000"))</f>
        <v/>
      </c>
      <c r="B77" s="19" t="n"/>
      <c r="D77" s="18">
        <f>IFERROR(VLOOKUP(C77,Alumnos!$A:$B,2,FALSE),"")</f>
        <v/>
      </c>
      <c r="F77" s="18">
        <f>IFERROR(VLOOKUP(E77,Catalogo!$A$2:$H$60,4,FALSE),"")</f>
        <v/>
      </c>
      <c r="G77" s="20">
        <f>IFERROR(VLOOKUP(E77,Catalogo!$A$2:$H$60,5,FALSE),"")</f>
        <v/>
      </c>
      <c r="H77" s="21" t="n"/>
      <c r="I77" s="20">
        <f>IF(G77="","",G77-H77)</f>
        <v/>
      </c>
      <c r="J77" s="20">
        <f>IF(A77="","",SUMIFS(Pagos!$E:$E,Pagos!$D:$D,A77))</f>
        <v/>
      </c>
      <c r="K77" s="20">
        <f>IF(A77="","",I77-J77)</f>
        <v/>
      </c>
      <c r="L77" s="22">
        <f>IF(B77="","",B77+60)</f>
        <v/>
      </c>
    </row>
    <row r="78">
      <c r="A78" s="18">
        <f>IF(C78="","","V"&amp;TEXT(ROW()-1,"000"))</f>
        <v/>
      </c>
      <c r="B78" s="19" t="n"/>
      <c r="D78" s="18">
        <f>IFERROR(VLOOKUP(C78,Alumnos!$A:$B,2,FALSE),"")</f>
        <v/>
      </c>
      <c r="F78" s="18">
        <f>IFERROR(VLOOKUP(E78,Catalogo!$A$2:$H$60,4,FALSE),"")</f>
        <v/>
      </c>
      <c r="G78" s="20">
        <f>IFERROR(VLOOKUP(E78,Catalogo!$A$2:$H$60,5,FALSE),"")</f>
        <v/>
      </c>
      <c r="H78" s="21" t="n"/>
      <c r="I78" s="20">
        <f>IF(G78="","",G78-H78)</f>
        <v/>
      </c>
      <c r="J78" s="20">
        <f>IF(A78="","",SUMIFS(Pagos!$E:$E,Pagos!$D:$D,A78))</f>
        <v/>
      </c>
      <c r="K78" s="20">
        <f>IF(A78="","",I78-J78)</f>
        <v/>
      </c>
      <c r="L78" s="22">
        <f>IF(B78="","",B78+60)</f>
        <v/>
      </c>
    </row>
    <row r="79">
      <c r="A79" s="18">
        <f>IF(C79="","","V"&amp;TEXT(ROW()-1,"000"))</f>
        <v/>
      </c>
      <c r="B79" s="19" t="n"/>
      <c r="D79" s="18">
        <f>IFERROR(VLOOKUP(C79,Alumnos!$A:$B,2,FALSE),"")</f>
        <v/>
      </c>
      <c r="F79" s="18">
        <f>IFERROR(VLOOKUP(E79,Catalogo!$A$2:$H$60,4,FALSE),"")</f>
        <v/>
      </c>
      <c r="G79" s="20">
        <f>IFERROR(VLOOKUP(E79,Catalogo!$A$2:$H$60,5,FALSE),"")</f>
        <v/>
      </c>
      <c r="H79" s="21" t="n"/>
      <c r="I79" s="20">
        <f>IF(G79="","",G79-H79)</f>
        <v/>
      </c>
      <c r="J79" s="20">
        <f>IF(A79="","",SUMIFS(Pagos!$E:$E,Pagos!$D:$D,A79))</f>
        <v/>
      </c>
      <c r="K79" s="20">
        <f>IF(A79="","",I79-J79)</f>
        <v/>
      </c>
      <c r="L79" s="22">
        <f>IF(B79="","",B79+60)</f>
        <v/>
      </c>
    </row>
    <row r="80">
      <c r="A80" s="18">
        <f>IF(C80="","","V"&amp;TEXT(ROW()-1,"000"))</f>
        <v/>
      </c>
      <c r="B80" s="19" t="n"/>
      <c r="D80" s="18">
        <f>IFERROR(VLOOKUP(C80,Alumnos!$A:$B,2,FALSE),"")</f>
        <v/>
      </c>
      <c r="F80" s="18">
        <f>IFERROR(VLOOKUP(E80,Catalogo!$A$2:$H$60,4,FALSE),"")</f>
        <v/>
      </c>
      <c r="G80" s="20">
        <f>IFERROR(VLOOKUP(E80,Catalogo!$A$2:$H$60,5,FALSE),"")</f>
        <v/>
      </c>
      <c r="H80" s="21" t="n"/>
      <c r="I80" s="20">
        <f>IF(G80="","",G80-H80)</f>
        <v/>
      </c>
      <c r="J80" s="20">
        <f>IF(A80="","",SUMIFS(Pagos!$E:$E,Pagos!$D:$D,A80))</f>
        <v/>
      </c>
      <c r="K80" s="20">
        <f>IF(A80="","",I80-J80)</f>
        <v/>
      </c>
      <c r="L80" s="22">
        <f>IF(B80="","",B80+60)</f>
        <v/>
      </c>
    </row>
    <row r="81">
      <c r="A81" s="18">
        <f>IF(C81="","","V"&amp;TEXT(ROW()-1,"000"))</f>
        <v/>
      </c>
      <c r="B81" s="19" t="n"/>
      <c r="D81" s="18">
        <f>IFERROR(VLOOKUP(C81,Alumnos!$A:$B,2,FALSE),"")</f>
        <v/>
      </c>
      <c r="F81" s="18">
        <f>IFERROR(VLOOKUP(E81,Catalogo!$A$2:$H$60,4,FALSE),"")</f>
        <v/>
      </c>
      <c r="G81" s="20">
        <f>IFERROR(VLOOKUP(E81,Catalogo!$A$2:$H$60,5,FALSE),"")</f>
        <v/>
      </c>
      <c r="H81" s="21" t="n"/>
      <c r="I81" s="20">
        <f>IF(G81="","",G81-H81)</f>
        <v/>
      </c>
      <c r="J81" s="20">
        <f>IF(A81="","",SUMIFS(Pagos!$E:$E,Pagos!$D:$D,A81))</f>
        <v/>
      </c>
      <c r="K81" s="20">
        <f>IF(A81="","",I81-J81)</f>
        <v/>
      </c>
      <c r="L81" s="22">
        <f>IF(B81="","",B81+60)</f>
        <v/>
      </c>
    </row>
    <row r="82">
      <c r="A82" s="18">
        <f>IF(C82="","","V"&amp;TEXT(ROW()-1,"000"))</f>
        <v/>
      </c>
      <c r="B82" s="19" t="n"/>
      <c r="D82" s="18">
        <f>IFERROR(VLOOKUP(C82,Alumnos!$A:$B,2,FALSE),"")</f>
        <v/>
      </c>
      <c r="F82" s="18">
        <f>IFERROR(VLOOKUP(E82,Catalogo!$A$2:$H$60,4,FALSE),"")</f>
        <v/>
      </c>
      <c r="G82" s="20">
        <f>IFERROR(VLOOKUP(E82,Catalogo!$A$2:$H$60,5,FALSE),"")</f>
        <v/>
      </c>
      <c r="H82" s="21" t="n"/>
      <c r="I82" s="20">
        <f>IF(G82="","",G82-H82)</f>
        <v/>
      </c>
      <c r="J82" s="20">
        <f>IF(A82="","",SUMIFS(Pagos!$E:$E,Pagos!$D:$D,A82))</f>
        <v/>
      </c>
      <c r="K82" s="20">
        <f>IF(A82="","",I82-J82)</f>
        <v/>
      </c>
      <c r="L82" s="22">
        <f>IF(B82="","",B82+60)</f>
        <v/>
      </c>
    </row>
    <row r="83">
      <c r="A83" s="18">
        <f>IF(C83="","","V"&amp;TEXT(ROW()-1,"000"))</f>
        <v/>
      </c>
      <c r="B83" s="19" t="n"/>
      <c r="D83" s="18">
        <f>IFERROR(VLOOKUP(C83,Alumnos!$A:$B,2,FALSE),"")</f>
        <v/>
      </c>
      <c r="F83" s="18">
        <f>IFERROR(VLOOKUP(E83,Catalogo!$A$2:$H$60,4,FALSE),"")</f>
        <v/>
      </c>
      <c r="G83" s="20">
        <f>IFERROR(VLOOKUP(E83,Catalogo!$A$2:$H$60,5,FALSE),"")</f>
        <v/>
      </c>
      <c r="H83" s="21" t="n"/>
      <c r="I83" s="20">
        <f>IF(G83="","",G83-H83)</f>
        <v/>
      </c>
      <c r="J83" s="20">
        <f>IF(A83="","",SUMIFS(Pagos!$E:$E,Pagos!$D:$D,A83))</f>
        <v/>
      </c>
      <c r="K83" s="20">
        <f>IF(A83="","",I83-J83)</f>
        <v/>
      </c>
      <c r="L83" s="22">
        <f>IF(B83="","",B83+60)</f>
        <v/>
      </c>
    </row>
    <row r="84">
      <c r="A84" s="18">
        <f>IF(C84="","","V"&amp;TEXT(ROW()-1,"000"))</f>
        <v/>
      </c>
      <c r="B84" s="19" t="n"/>
      <c r="D84" s="18">
        <f>IFERROR(VLOOKUP(C84,Alumnos!$A:$B,2,FALSE),"")</f>
        <v/>
      </c>
      <c r="F84" s="18">
        <f>IFERROR(VLOOKUP(E84,Catalogo!$A$2:$H$60,4,FALSE),"")</f>
        <v/>
      </c>
      <c r="G84" s="20">
        <f>IFERROR(VLOOKUP(E84,Catalogo!$A$2:$H$60,5,FALSE),"")</f>
        <v/>
      </c>
      <c r="H84" s="21" t="n"/>
      <c r="I84" s="20">
        <f>IF(G84="","",G84-H84)</f>
        <v/>
      </c>
      <c r="J84" s="20">
        <f>IF(A84="","",SUMIFS(Pagos!$E:$E,Pagos!$D:$D,A84))</f>
        <v/>
      </c>
      <c r="K84" s="20">
        <f>IF(A84="","",I84-J84)</f>
        <v/>
      </c>
      <c r="L84" s="22">
        <f>IF(B84="","",B84+60)</f>
        <v/>
      </c>
    </row>
    <row r="85">
      <c r="A85" s="18">
        <f>IF(C85="","","V"&amp;TEXT(ROW()-1,"000"))</f>
        <v/>
      </c>
      <c r="B85" s="19" t="n"/>
      <c r="D85" s="18">
        <f>IFERROR(VLOOKUP(C85,Alumnos!$A:$B,2,FALSE),"")</f>
        <v/>
      </c>
      <c r="F85" s="18">
        <f>IFERROR(VLOOKUP(E85,Catalogo!$A$2:$H$60,4,FALSE),"")</f>
        <v/>
      </c>
      <c r="G85" s="20">
        <f>IFERROR(VLOOKUP(E85,Catalogo!$A$2:$H$60,5,FALSE),"")</f>
        <v/>
      </c>
      <c r="H85" s="21" t="n"/>
      <c r="I85" s="20">
        <f>IF(G85="","",G85-H85)</f>
        <v/>
      </c>
      <c r="J85" s="20">
        <f>IF(A85="","",SUMIFS(Pagos!$E:$E,Pagos!$D:$D,A85))</f>
        <v/>
      </c>
      <c r="K85" s="20">
        <f>IF(A85="","",I85-J85)</f>
        <v/>
      </c>
      <c r="L85" s="22">
        <f>IF(B85="","",B85+60)</f>
        <v/>
      </c>
    </row>
    <row r="86">
      <c r="A86" s="18">
        <f>IF(C86="","","V"&amp;TEXT(ROW()-1,"000"))</f>
        <v/>
      </c>
      <c r="B86" s="19" t="n"/>
      <c r="D86" s="18">
        <f>IFERROR(VLOOKUP(C86,Alumnos!$A:$B,2,FALSE),"")</f>
        <v/>
      </c>
      <c r="F86" s="18">
        <f>IFERROR(VLOOKUP(E86,Catalogo!$A$2:$H$60,4,FALSE),"")</f>
        <v/>
      </c>
      <c r="G86" s="20">
        <f>IFERROR(VLOOKUP(E86,Catalogo!$A$2:$H$60,5,FALSE),"")</f>
        <v/>
      </c>
      <c r="H86" s="21" t="n"/>
      <c r="I86" s="20">
        <f>IF(G86="","",G86-H86)</f>
        <v/>
      </c>
      <c r="J86" s="20">
        <f>IF(A86="","",SUMIFS(Pagos!$E:$E,Pagos!$D:$D,A86))</f>
        <v/>
      </c>
      <c r="K86" s="20">
        <f>IF(A86="","",I86-J86)</f>
        <v/>
      </c>
      <c r="L86" s="22">
        <f>IF(B86="","",B86+60)</f>
        <v/>
      </c>
    </row>
    <row r="87">
      <c r="A87" s="18">
        <f>IF(C87="","","V"&amp;TEXT(ROW()-1,"000"))</f>
        <v/>
      </c>
      <c r="B87" s="19" t="n"/>
      <c r="D87" s="18">
        <f>IFERROR(VLOOKUP(C87,Alumnos!$A:$B,2,FALSE),"")</f>
        <v/>
      </c>
      <c r="F87" s="18">
        <f>IFERROR(VLOOKUP(E87,Catalogo!$A$2:$H$60,4,FALSE),"")</f>
        <v/>
      </c>
      <c r="G87" s="20">
        <f>IFERROR(VLOOKUP(E87,Catalogo!$A$2:$H$60,5,FALSE),"")</f>
        <v/>
      </c>
      <c r="H87" s="21" t="n"/>
      <c r="I87" s="20">
        <f>IF(G87="","",G87-H87)</f>
        <v/>
      </c>
      <c r="J87" s="20">
        <f>IF(A87="","",SUMIFS(Pagos!$E:$E,Pagos!$D:$D,A87))</f>
        <v/>
      </c>
      <c r="K87" s="20">
        <f>IF(A87="","",I87-J87)</f>
        <v/>
      </c>
      <c r="L87" s="22">
        <f>IF(B87="","",B87+60)</f>
        <v/>
      </c>
    </row>
    <row r="88">
      <c r="A88" s="18">
        <f>IF(C88="","","V"&amp;TEXT(ROW()-1,"000"))</f>
        <v/>
      </c>
      <c r="B88" s="19" t="n"/>
      <c r="D88" s="18">
        <f>IFERROR(VLOOKUP(C88,Alumnos!$A:$B,2,FALSE),"")</f>
        <v/>
      </c>
      <c r="F88" s="18">
        <f>IFERROR(VLOOKUP(E88,Catalogo!$A$2:$H$60,4,FALSE),"")</f>
        <v/>
      </c>
      <c r="G88" s="20">
        <f>IFERROR(VLOOKUP(E88,Catalogo!$A$2:$H$60,5,FALSE),"")</f>
        <v/>
      </c>
      <c r="H88" s="21" t="n"/>
      <c r="I88" s="20">
        <f>IF(G88="","",G88-H88)</f>
        <v/>
      </c>
      <c r="J88" s="20">
        <f>IF(A88="","",SUMIFS(Pagos!$E:$E,Pagos!$D:$D,A88))</f>
        <v/>
      </c>
      <c r="K88" s="20">
        <f>IF(A88="","",I88-J88)</f>
        <v/>
      </c>
      <c r="L88" s="22">
        <f>IF(B88="","",B88+60)</f>
        <v/>
      </c>
    </row>
    <row r="89">
      <c r="A89" s="18">
        <f>IF(C89="","","V"&amp;TEXT(ROW()-1,"000"))</f>
        <v/>
      </c>
      <c r="B89" s="19" t="n"/>
      <c r="D89" s="18">
        <f>IFERROR(VLOOKUP(C89,Alumnos!$A:$B,2,FALSE),"")</f>
        <v/>
      </c>
      <c r="F89" s="18">
        <f>IFERROR(VLOOKUP(E89,Catalogo!$A$2:$H$60,4,FALSE),"")</f>
        <v/>
      </c>
      <c r="G89" s="20">
        <f>IFERROR(VLOOKUP(E89,Catalogo!$A$2:$H$60,5,FALSE),"")</f>
        <v/>
      </c>
      <c r="H89" s="21" t="n"/>
      <c r="I89" s="20">
        <f>IF(G89="","",G89-H89)</f>
        <v/>
      </c>
      <c r="J89" s="20">
        <f>IF(A89="","",SUMIFS(Pagos!$E:$E,Pagos!$D:$D,A89))</f>
        <v/>
      </c>
      <c r="K89" s="20">
        <f>IF(A89="","",I89-J89)</f>
        <v/>
      </c>
      <c r="L89" s="22">
        <f>IF(B89="","",B89+60)</f>
        <v/>
      </c>
    </row>
    <row r="90">
      <c r="A90" s="18">
        <f>IF(C90="","","V"&amp;TEXT(ROW()-1,"000"))</f>
        <v/>
      </c>
      <c r="B90" s="19" t="n"/>
      <c r="D90" s="18">
        <f>IFERROR(VLOOKUP(C90,Alumnos!$A:$B,2,FALSE),"")</f>
        <v/>
      </c>
      <c r="F90" s="18">
        <f>IFERROR(VLOOKUP(E90,Catalogo!$A$2:$H$60,4,FALSE),"")</f>
        <v/>
      </c>
      <c r="G90" s="20">
        <f>IFERROR(VLOOKUP(E90,Catalogo!$A$2:$H$60,5,FALSE),"")</f>
        <v/>
      </c>
      <c r="H90" s="21" t="n"/>
      <c r="I90" s="20">
        <f>IF(G90="","",G90-H90)</f>
        <v/>
      </c>
      <c r="J90" s="20">
        <f>IF(A90="","",SUMIFS(Pagos!$E:$E,Pagos!$D:$D,A90))</f>
        <v/>
      </c>
      <c r="K90" s="20">
        <f>IF(A90="","",I90-J90)</f>
        <v/>
      </c>
      <c r="L90" s="22">
        <f>IF(B90="","",B90+60)</f>
        <v/>
      </c>
    </row>
    <row r="91">
      <c r="A91" s="18">
        <f>IF(C91="","","V"&amp;TEXT(ROW()-1,"000"))</f>
        <v/>
      </c>
      <c r="B91" s="19" t="n"/>
      <c r="D91" s="18">
        <f>IFERROR(VLOOKUP(C91,Alumnos!$A:$B,2,FALSE),"")</f>
        <v/>
      </c>
      <c r="F91" s="18">
        <f>IFERROR(VLOOKUP(E91,Catalogo!$A$2:$H$60,4,FALSE),"")</f>
        <v/>
      </c>
      <c r="G91" s="20">
        <f>IFERROR(VLOOKUP(E91,Catalogo!$A$2:$H$60,5,FALSE),"")</f>
        <v/>
      </c>
      <c r="H91" s="21" t="n"/>
      <c r="I91" s="20">
        <f>IF(G91="","",G91-H91)</f>
        <v/>
      </c>
      <c r="J91" s="20">
        <f>IF(A91="","",SUMIFS(Pagos!$E:$E,Pagos!$D:$D,A91))</f>
        <v/>
      </c>
      <c r="K91" s="20">
        <f>IF(A91="","",I91-J91)</f>
        <v/>
      </c>
      <c r="L91" s="22">
        <f>IF(B91="","",B91+60)</f>
        <v/>
      </c>
    </row>
    <row r="92">
      <c r="A92" s="18">
        <f>IF(C92="","","V"&amp;TEXT(ROW()-1,"000"))</f>
        <v/>
      </c>
      <c r="B92" s="19" t="n"/>
      <c r="D92" s="18">
        <f>IFERROR(VLOOKUP(C92,Alumnos!$A:$B,2,FALSE),"")</f>
        <v/>
      </c>
      <c r="F92" s="18">
        <f>IFERROR(VLOOKUP(E92,Catalogo!$A$2:$H$60,4,FALSE),"")</f>
        <v/>
      </c>
      <c r="G92" s="20">
        <f>IFERROR(VLOOKUP(E92,Catalogo!$A$2:$H$60,5,FALSE),"")</f>
        <v/>
      </c>
      <c r="H92" s="21" t="n"/>
      <c r="I92" s="20">
        <f>IF(G92="","",G92-H92)</f>
        <v/>
      </c>
      <c r="J92" s="20">
        <f>IF(A92="","",SUMIFS(Pagos!$E:$E,Pagos!$D:$D,A92))</f>
        <v/>
      </c>
      <c r="K92" s="20">
        <f>IF(A92="","",I92-J92)</f>
        <v/>
      </c>
      <c r="L92" s="22">
        <f>IF(B92="","",B92+60)</f>
        <v/>
      </c>
    </row>
    <row r="93">
      <c r="A93" s="18">
        <f>IF(C93="","","V"&amp;TEXT(ROW()-1,"000"))</f>
        <v/>
      </c>
      <c r="B93" s="19" t="n"/>
      <c r="D93" s="18">
        <f>IFERROR(VLOOKUP(C93,Alumnos!$A:$B,2,FALSE),"")</f>
        <v/>
      </c>
      <c r="F93" s="18">
        <f>IFERROR(VLOOKUP(E93,Catalogo!$A$2:$H$60,4,FALSE),"")</f>
        <v/>
      </c>
      <c r="G93" s="20">
        <f>IFERROR(VLOOKUP(E93,Catalogo!$A$2:$H$60,5,FALSE),"")</f>
        <v/>
      </c>
      <c r="H93" s="21" t="n"/>
      <c r="I93" s="20">
        <f>IF(G93="","",G93-H93)</f>
        <v/>
      </c>
      <c r="J93" s="20">
        <f>IF(A93="","",SUMIFS(Pagos!$E:$E,Pagos!$D:$D,A93))</f>
        <v/>
      </c>
      <c r="K93" s="20">
        <f>IF(A93="","",I93-J93)</f>
        <v/>
      </c>
      <c r="L93" s="22">
        <f>IF(B93="","",B93+60)</f>
        <v/>
      </c>
    </row>
    <row r="94">
      <c r="A94" s="18">
        <f>IF(C94="","","V"&amp;TEXT(ROW()-1,"000"))</f>
        <v/>
      </c>
      <c r="B94" s="19" t="n"/>
      <c r="D94" s="18">
        <f>IFERROR(VLOOKUP(C94,Alumnos!$A:$B,2,FALSE),"")</f>
        <v/>
      </c>
      <c r="F94" s="18">
        <f>IFERROR(VLOOKUP(E94,Catalogo!$A$2:$H$60,4,FALSE),"")</f>
        <v/>
      </c>
      <c r="G94" s="20">
        <f>IFERROR(VLOOKUP(E94,Catalogo!$A$2:$H$60,5,FALSE),"")</f>
        <v/>
      </c>
      <c r="H94" s="21" t="n"/>
      <c r="I94" s="20">
        <f>IF(G94="","",G94-H94)</f>
        <v/>
      </c>
      <c r="J94" s="20">
        <f>IF(A94="","",SUMIFS(Pagos!$E:$E,Pagos!$D:$D,A94))</f>
        <v/>
      </c>
      <c r="K94" s="20">
        <f>IF(A94="","",I94-J94)</f>
        <v/>
      </c>
      <c r="L94" s="22">
        <f>IF(B94="","",B94+60)</f>
        <v/>
      </c>
    </row>
    <row r="95">
      <c r="A95" s="18">
        <f>IF(C95="","","V"&amp;TEXT(ROW()-1,"000"))</f>
        <v/>
      </c>
      <c r="B95" s="19" t="n"/>
      <c r="D95" s="18">
        <f>IFERROR(VLOOKUP(C95,Alumnos!$A:$B,2,FALSE),"")</f>
        <v/>
      </c>
      <c r="F95" s="18">
        <f>IFERROR(VLOOKUP(E95,Catalogo!$A$2:$H$60,4,FALSE),"")</f>
        <v/>
      </c>
      <c r="G95" s="20">
        <f>IFERROR(VLOOKUP(E95,Catalogo!$A$2:$H$60,5,FALSE),"")</f>
        <v/>
      </c>
      <c r="H95" s="21" t="n"/>
      <c r="I95" s="20">
        <f>IF(G95="","",G95-H95)</f>
        <v/>
      </c>
      <c r="J95" s="20">
        <f>IF(A95="","",SUMIFS(Pagos!$E:$E,Pagos!$D:$D,A95))</f>
        <v/>
      </c>
      <c r="K95" s="20">
        <f>IF(A95="","",I95-J95)</f>
        <v/>
      </c>
      <c r="L95" s="22">
        <f>IF(B95="","",B95+60)</f>
        <v/>
      </c>
    </row>
    <row r="96">
      <c r="A96" s="18">
        <f>IF(C96="","","V"&amp;TEXT(ROW()-1,"000"))</f>
        <v/>
      </c>
      <c r="B96" s="19" t="n"/>
      <c r="D96" s="18">
        <f>IFERROR(VLOOKUP(C96,Alumnos!$A:$B,2,FALSE),"")</f>
        <v/>
      </c>
      <c r="F96" s="18">
        <f>IFERROR(VLOOKUP(E96,Catalogo!$A$2:$H$60,4,FALSE),"")</f>
        <v/>
      </c>
      <c r="G96" s="20">
        <f>IFERROR(VLOOKUP(E96,Catalogo!$A$2:$H$60,5,FALSE),"")</f>
        <v/>
      </c>
      <c r="H96" s="21" t="n"/>
      <c r="I96" s="20">
        <f>IF(G96="","",G96-H96)</f>
        <v/>
      </c>
      <c r="J96" s="20">
        <f>IF(A96="","",SUMIFS(Pagos!$E:$E,Pagos!$D:$D,A96))</f>
        <v/>
      </c>
      <c r="K96" s="20">
        <f>IF(A96="","",I96-J96)</f>
        <v/>
      </c>
      <c r="L96" s="22">
        <f>IF(B96="","",B96+60)</f>
        <v/>
      </c>
    </row>
    <row r="97">
      <c r="A97" s="18">
        <f>IF(C97="","","V"&amp;TEXT(ROW()-1,"000"))</f>
        <v/>
      </c>
      <c r="B97" s="19" t="n"/>
      <c r="D97" s="18">
        <f>IFERROR(VLOOKUP(C97,Alumnos!$A:$B,2,FALSE),"")</f>
        <v/>
      </c>
      <c r="F97" s="18">
        <f>IFERROR(VLOOKUP(E97,Catalogo!$A$2:$H$60,4,FALSE),"")</f>
        <v/>
      </c>
      <c r="G97" s="20">
        <f>IFERROR(VLOOKUP(E97,Catalogo!$A$2:$H$60,5,FALSE),"")</f>
        <v/>
      </c>
      <c r="H97" s="21" t="n"/>
      <c r="I97" s="20">
        <f>IF(G97="","",G97-H97)</f>
        <v/>
      </c>
      <c r="J97" s="20">
        <f>IF(A97="","",SUMIFS(Pagos!$E:$E,Pagos!$D:$D,A97))</f>
        <v/>
      </c>
      <c r="K97" s="20">
        <f>IF(A97="","",I97-J97)</f>
        <v/>
      </c>
      <c r="L97" s="22">
        <f>IF(B97="","",B97+60)</f>
        <v/>
      </c>
    </row>
    <row r="98">
      <c r="A98" s="18">
        <f>IF(C98="","","V"&amp;TEXT(ROW()-1,"000"))</f>
        <v/>
      </c>
      <c r="B98" s="19" t="n"/>
      <c r="D98" s="18">
        <f>IFERROR(VLOOKUP(C98,Alumnos!$A:$B,2,FALSE),"")</f>
        <v/>
      </c>
      <c r="F98" s="18">
        <f>IFERROR(VLOOKUP(E98,Catalogo!$A$2:$H$60,4,FALSE),"")</f>
        <v/>
      </c>
      <c r="G98" s="20">
        <f>IFERROR(VLOOKUP(E98,Catalogo!$A$2:$H$60,5,FALSE),"")</f>
        <v/>
      </c>
      <c r="H98" s="21" t="n"/>
      <c r="I98" s="20">
        <f>IF(G98="","",G98-H98)</f>
        <v/>
      </c>
      <c r="J98" s="20">
        <f>IF(A98="","",SUMIFS(Pagos!$E:$E,Pagos!$D:$D,A98))</f>
        <v/>
      </c>
      <c r="K98" s="20">
        <f>IF(A98="","",I98-J98)</f>
        <v/>
      </c>
      <c r="L98" s="22">
        <f>IF(B98="","",B98+60)</f>
        <v/>
      </c>
    </row>
    <row r="99">
      <c r="A99" s="18">
        <f>IF(C99="","","V"&amp;TEXT(ROW()-1,"000"))</f>
        <v/>
      </c>
      <c r="B99" s="19" t="n"/>
      <c r="D99" s="18">
        <f>IFERROR(VLOOKUP(C99,Alumnos!$A:$B,2,FALSE),"")</f>
        <v/>
      </c>
      <c r="F99" s="18">
        <f>IFERROR(VLOOKUP(E99,Catalogo!$A$2:$H$60,4,FALSE),"")</f>
        <v/>
      </c>
      <c r="G99" s="20">
        <f>IFERROR(VLOOKUP(E99,Catalogo!$A$2:$H$60,5,FALSE),"")</f>
        <v/>
      </c>
      <c r="H99" s="21" t="n"/>
      <c r="I99" s="20">
        <f>IF(G99="","",G99-H99)</f>
        <v/>
      </c>
      <c r="J99" s="20">
        <f>IF(A99="","",SUMIFS(Pagos!$E:$E,Pagos!$D:$D,A99))</f>
        <v/>
      </c>
      <c r="K99" s="20">
        <f>IF(A99="","",I99-J99)</f>
        <v/>
      </c>
      <c r="L99" s="22">
        <f>IF(B99="","",B99+60)</f>
        <v/>
      </c>
    </row>
    <row r="100">
      <c r="A100" s="18">
        <f>IF(C100="","","V"&amp;TEXT(ROW()-1,"000"))</f>
        <v/>
      </c>
      <c r="B100" s="19" t="n"/>
      <c r="D100" s="18">
        <f>IFERROR(VLOOKUP(C100,Alumnos!$A:$B,2,FALSE),"")</f>
        <v/>
      </c>
      <c r="F100" s="18">
        <f>IFERROR(VLOOKUP(E100,Catalogo!$A$2:$H$60,4,FALSE),"")</f>
        <v/>
      </c>
      <c r="G100" s="20">
        <f>IFERROR(VLOOKUP(E100,Catalogo!$A$2:$H$60,5,FALSE),"")</f>
        <v/>
      </c>
      <c r="H100" s="21" t="n"/>
      <c r="I100" s="20">
        <f>IF(G100="","",G100-H100)</f>
        <v/>
      </c>
      <c r="J100" s="20">
        <f>IF(A100="","",SUMIFS(Pagos!$E:$E,Pagos!$D:$D,A100))</f>
        <v/>
      </c>
      <c r="K100" s="20">
        <f>IF(A100="","",I100-J100)</f>
        <v/>
      </c>
      <c r="L100" s="22">
        <f>IF(B100="","",B100+60)</f>
        <v/>
      </c>
    </row>
    <row r="101">
      <c r="A101" s="18">
        <f>IF(C101="","","V"&amp;TEXT(ROW()-1,"000"))</f>
        <v/>
      </c>
      <c r="B101" s="19" t="n"/>
      <c r="D101" s="18">
        <f>IFERROR(VLOOKUP(C101,Alumnos!$A:$B,2,FALSE),"")</f>
        <v/>
      </c>
      <c r="F101" s="18">
        <f>IFERROR(VLOOKUP(E101,Catalogo!$A$2:$H$60,4,FALSE),"")</f>
        <v/>
      </c>
      <c r="G101" s="20">
        <f>IFERROR(VLOOKUP(E101,Catalogo!$A$2:$H$60,5,FALSE),"")</f>
        <v/>
      </c>
      <c r="H101" s="21" t="n"/>
      <c r="I101" s="20">
        <f>IF(G101="","",G101-H101)</f>
        <v/>
      </c>
      <c r="J101" s="20">
        <f>IF(A101="","",SUMIFS(Pagos!$E:$E,Pagos!$D:$D,A101))</f>
        <v/>
      </c>
      <c r="K101" s="20">
        <f>IF(A101="","",I101-J101)</f>
        <v/>
      </c>
      <c r="L101" s="22">
        <f>IF(B101="","",B101+60)</f>
        <v/>
      </c>
    </row>
    <row r="102">
      <c r="A102" s="18">
        <f>IF(C102="","","V"&amp;TEXT(ROW()-1,"000"))</f>
        <v/>
      </c>
      <c r="B102" s="19" t="n"/>
      <c r="D102" s="18">
        <f>IFERROR(VLOOKUP(C102,Alumnos!$A:$B,2,FALSE),"")</f>
        <v/>
      </c>
      <c r="F102" s="18">
        <f>IFERROR(VLOOKUP(E102,Catalogo!$A$2:$H$60,4,FALSE),"")</f>
        <v/>
      </c>
      <c r="G102" s="20">
        <f>IFERROR(VLOOKUP(E102,Catalogo!$A$2:$H$60,5,FALSE),"")</f>
        <v/>
      </c>
      <c r="H102" s="21" t="n"/>
      <c r="I102" s="20">
        <f>IF(G102="","",G102-H102)</f>
        <v/>
      </c>
      <c r="J102" s="20">
        <f>IF(A102="","",SUMIFS(Pagos!$E:$E,Pagos!$D:$D,A102))</f>
        <v/>
      </c>
      <c r="K102" s="20">
        <f>IF(A102="","",I102-J102)</f>
        <v/>
      </c>
      <c r="L102" s="22">
        <f>IF(B102="","",B102+60)</f>
        <v/>
      </c>
    </row>
    <row r="103">
      <c r="A103" s="18">
        <f>IF(C103="","","V"&amp;TEXT(ROW()-1,"000"))</f>
        <v/>
      </c>
      <c r="B103" s="19" t="n"/>
      <c r="D103" s="18">
        <f>IFERROR(VLOOKUP(C103,Alumnos!$A:$B,2,FALSE),"")</f>
        <v/>
      </c>
      <c r="F103" s="18">
        <f>IFERROR(VLOOKUP(E103,Catalogo!$A$2:$H$60,4,FALSE),"")</f>
        <v/>
      </c>
      <c r="G103" s="20">
        <f>IFERROR(VLOOKUP(E103,Catalogo!$A$2:$H$60,5,FALSE),"")</f>
        <v/>
      </c>
      <c r="H103" s="21" t="n"/>
      <c r="I103" s="20">
        <f>IF(G103="","",G103-H103)</f>
        <v/>
      </c>
      <c r="J103" s="20">
        <f>IF(A103="","",SUMIFS(Pagos!$E:$E,Pagos!$D:$D,A103))</f>
        <v/>
      </c>
      <c r="K103" s="20">
        <f>IF(A103="","",I103-J103)</f>
        <v/>
      </c>
      <c r="L103" s="22">
        <f>IF(B103="","",B103+60)</f>
        <v/>
      </c>
    </row>
    <row r="104">
      <c r="A104" s="18">
        <f>IF(C104="","","V"&amp;TEXT(ROW()-1,"000"))</f>
        <v/>
      </c>
      <c r="B104" s="19" t="n"/>
      <c r="D104" s="18">
        <f>IFERROR(VLOOKUP(C104,Alumnos!$A:$B,2,FALSE),"")</f>
        <v/>
      </c>
      <c r="F104" s="18">
        <f>IFERROR(VLOOKUP(E104,Catalogo!$A$2:$H$60,4,FALSE),"")</f>
        <v/>
      </c>
      <c r="G104" s="20">
        <f>IFERROR(VLOOKUP(E104,Catalogo!$A$2:$H$60,5,FALSE),"")</f>
        <v/>
      </c>
      <c r="H104" s="21" t="n"/>
      <c r="I104" s="20">
        <f>IF(G104="","",G104-H104)</f>
        <v/>
      </c>
      <c r="J104" s="20">
        <f>IF(A104="","",SUMIFS(Pagos!$E:$E,Pagos!$D:$D,A104))</f>
        <v/>
      </c>
      <c r="K104" s="20">
        <f>IF(A104="","",I104-J104)</f>
        <v/>
      </c>
      <c r="L104" s="22">
        <f>IF(B104="","",B104+60)</f>
        <v/>
      </c>
    </row>
    <row r="105">
      <c r="A105" s="18">
        <f>IF(C105="","","V"&amp;TEXT(ROW()-1,"000"))</f>
        <v/>
      </c>
      <c r="B105" s="19" t="n"/>
      <c r="D105" s="18">
        <f>IFERROR(VLOOKUP(C105,Alumnos!$A:$B,2,FALSE),"")</f>
        <v/>
      </c>
      <c r="F105" s="18">
        <f>IFERROR(VLOOKUP(E105,Catalogo!$A$2:$H$60,4,FALSE),"")</f>
        <v/>
      </c>
      <c r="G105" s="20">
        <f>IFERROR(VLOOKUP(E105,Catalogo!$A$2:$H$60,5,FALSE),"")</f>
        <v/>
      </c>
      <c r="H105" s="21" t="n"/>
      <c r="I105" s="20">
        <f>IF(G105="","",G105-H105)</f>
        <v/>
      </c>
      <c r="J105" s="20">
        <f>IF(A105="","",SUMIFS(Pagos!$E:$E,Pagos!$D:$D,A105))</f>
        <v/>
      </c>
      <c r="K105" s="20">
        <f>IF(A105="","",I105-J105)</f>
        <v/>
      </c>
      <c r="L105" s="22">
        <f>IF(B105="","",B105+60)</f>
        <v/>
      </c>
    </row>
    <row r="106">
      <c r="A106" s="18">
        <f>IF(C106="","","V"&amp;TEXT(ROW()-1,"000"))</f>
        <v/>
      </c>
      <c r="B106" s="19" t="n"/>
      <c r="D106" s="18">
        <f>IFERROR(VLOOKUP(C106,Alumnos!$A:$B,2,FALSE),"")</f>
        <v/>
      </c>
      <c r="F106" s="18">
        <f>IFERROR(VLOOKUP(E106,Catalogo!$A$2:$H$60,4,FALSE),"")</f>
        <v/>
      </c>
      <c r="G106" s="20">
        <f>IFERROR(VLOOKUP(E106,Catalogo!$A$2:$H$60,5,FALSE),"")</f>
        <v/>
      </c>
      <c r="H106" s="21" t="n"/>
      <c r="I106" s="20">
        <f>IF(G106="","",G106-H106)</f>
        <v/>
      </c>
      <c r="J106" s="20">
        <f>IF(A106="","",SUMIFS(Pagos!$E:$E,Pagos!$D:$D,A106))</f>
        <v/>
      </c>
      <c r="K106" s="20">
        <f>IF(A106="","",I106-J106)</f>
        <v/>
      </c>
      <c r="L106" s="22">
        <f>IF(B106="","",B106+60)</f>
        <v/>
      </c>
    </row>
    <row r="107">
      <c r="A107" s="18">
        <f>IF(C107="","","V"&amp;TEXT(ROW()-1,"000"))</f>
        <v/>
      </c>
      <c r="B107" s="19" t="n"/>
      <c r="D107" s="18">
        <f>IFERROR(VLOOKUP(C107,Alumnos!$A:$B,2,FALSE),"")</f>
        <v/>
      </c>
      <c r="F107" s="18">
        <f>IFERROR(VLOOKUP(E107,Catalogo!$A$2:$H$60,4,FALSE),"")</f>
        <v/>
      </c>
      <c r="G107" s="20">
        <f>IFERROR(VLOOKUP(E107,Catalogo!$A$2:$H$60,5,FALSE),"")</f>
        <v/>
      </c>
      <c r="H107" s="21" t="n"/>
      <c r="I107" s="20">
        <f>IF(G107="","",G107-H107)</f>
        <v/>
      </c>
      <c r="J107" s="20">
        <f>IF(A107="","",SUMIFS(Pagos!$E:$E,Pagos!$D:$D,A107))</f>
        <v/>
      </c>
      <c r="K107" s="20">
        <f>IF(A107="","",I107-J107)</f>
        <v/>
      </c>
      <c r="L107" s="22">
        <f>IF(B107="","",B107+60)</f>
        <v/>
      </c>
    </row>
    <row r="108">
      <c r="A108" s="18">
        <f>IF(C108="","","V"&amp;TEXT(ROW()-1,"000"))</f>
        <v/>
      </c>
      <c r="B108" s="19" t="n"/>
      <c r="D108" s="18">
        <f>IFERROR(VLOOKUP(C108,Alumnos!$A:$B,2,FALSE),"")</f>
        <v/>
      </c>
      <c r="F108" s="18">
        <f>IFERROR(VLOOKUP(E108,Catalogo!$A$2:$H$60,4,FALSE),"")</f>
        <v/>
      </c>
      <c r="G108" s="20">
        <f>IFERROR(VLOOKUP(E108,Catalogo!$A$2:$H$60,5,FALSE),"")</f>
        <v/>
      </c>
      <c r="H108" s="21" t="n"/>
      <c r="I108" s="20">
        <f>IF(G108="","",G108-H108)</f>
        <v/>
      </c>
      <c r="J108" s="20">
        <f>IF(A108="","",SUMIFS(Pagos!$E:$E,Pagos!$D:$D,A108))</f>
        <v/>
      </c>
      <c r="K108" s="20">
        <f>IF(A108="","",I108-J108)</f>
        <v/>
      </c>
      <c r="L108" s="22">
        <f>IF(B108="","",B108+60)</f>
        <v/>
      </c>
    </row>
    <row r="109">
      <c r="A109" s="18">
        <f>IF(C109="","","V"&amp;TEXT(ROW()-1,"000"))</f>
        <v/>
      </c>
      <c r="B109" s="19" t="n"/>
      <c r="D109" s="18">
        <f>IFERROR(VLOOKUP(C109,Alumnos!$A:$B,2,FALSE),"")</f>
        <v/>
      </c>
      <c r="F109" s="18">
        <f>IFERROR(VLOOKUP(E109,Catalogo!$A$2:$H$60,4,FALSE),"")</f>
        <v/>
      </c>
      <c r="G109" s="20">
        <f>IFERROR(VLOOKUP(E109,Catalogo!$A$2:$H$60,5,FALSE),"")</f>
        <v/>
      </c>
      <c r="H109" s="21" t="n"/>
      <c r="I109" s="20">
        <f>IF(G109="","",G109-H109)</f>
        <v/>
      </c>
      <c r="J109" s="20">
        <f>IF(A109="","",SUMIFS(Pagos!$E:$E,Pagos!$D:$D,A109))</f>
        <v/>
      </c>
      <c r="K109" s="20">
        <f>IF(A109="","",I109-J109)</f>
        <v/>
      </c>
      <c r="L109" s="22">
        <f>IF(B109="","",B109+60)</f>
        <v/>
      </c>
    </row>
    <row r="110">
      <c r="A110" s="18">
        <f>IF(C110="","","V"&amp;TEXT(ROW()-1,"000"))</f>
        <v/>
      </c>
      <c r="B110" s="19" t="n"/>
      <c r="D110" s="18">
        <f>IFERROR(VLOOKUP(C110,Alumnos!$A:$B,2,FALSE),"")</f>
        <v/>
      </c>
      <c r="F110" s="18">
        <f>IFERROR(VLOOKUP(E110,Catalogo!$A$2:$H$60,4,FALSE),"")</f>
        <v/>
      </c>
      <c r="G110" s="20">
        <f>IFERROR(VLOOKUP(E110,Catalogo!$A$2:$H$60,5,FALSE),"")</f>
        <v/>
      </c>
      <c r="H110" s="21" t="n"/>
      <c r="I110" s="20">
        <f>IF(G110="","",G110-H110)</f>
        <v/>
      </c>
      <c r="J110" s="20">
        <f>IF(A110="","",SUMIFS(Pagos!$E:$E,Pagos!$D:$D,A110))</f>
        <v/>
      </c>
      <c r="K110" s="20">
        <f>IF(A110="","",I110-J110)</f>
        <v/>
      </c>
      <c r="L110" s="22">
        <f>IF(B110="","",B110+60)</f>
        <v/>
      </c>
    </row>
    <row r="111">
      <c r="A111" s="18">
        <f>IF(C111="","","V"&amp;TEXT(ROW()-1,"000"))</f>
        <v/>
      </c>
      <c r="B111" s="19" t="n"/>
      <c r="D111" s="18">
        <f>IFERROR(VLOOKUP(C111,Alumnos!$A:$B,2,FALSE),"")</f>
        <v/>
      </c>
      <c r="F111" s="18">
        <f>IFERROR(VLOOKUP(E111,Catalogo!$A$2:$H$60,4,FALSE),"")</f>
        <v/>
      </c>
      <c r="G111" s="20">
        <f>IFERROR(VLOOKUP(E111,Catalogo!$A$2:$H$60,5,FALSE),"")</f>
        <v/>
      </c>
      <c r="H111" s="21" t="n"/>
      <c r="I111" s="20">
        <f>IF(G111="","",G111-H111)</f>
        <v/>
      </c>
      <c r="J111" s="20">
        <f>IF(A111="","",SUMIFS(Pagos!$E:$E,Pagos!$D:$D,A111))</f>
        <v/>
      </c>
      <c r="K111" s="20">
        <f>IF(A111="","",I111-J111)</f>
        <v/>
      </c>
      <c r="L111" s="22">
        <f>IF(B111="","",B111+60)</f>
        <v/>
      </c>
    </row>
    <row r="112">
      <c r="A112" s="18">
        <f>IF(C112="","","V"&amp;TEXT(ROW()-1,"000"))</f>
        <v/>
      </c>
      <c r="B112" s="19" t="n"/>
      <c r="D112" s="18">
        <f>IFERROR(VLOOKUP(C112,Alumnos!$A:$B,2,FALSE),"")</f>
        <v/>
      </c>
      <c r="F112" s="18">
        <f>IFERROR(VLOOKUP(E112,Catalogo!$A$2:$H$60,4,FALSE),"")</f>
        <v/>
      </c>
      <c r="G112" s="20">
        <f>IFERROR(VLOOKUP(E112,Catalogo!$A$2:$H$60,5,FALSE),"")</f>
        <v/>
      </c>
      <c r="H112" s="21" t="n"/>
      <c r="I112" s="20">
        <f>IF(G112="","",G112-H112)</f>
        <v/>
      </c>
      <c r="J112" s="20">
        <f>IF(A112="","",SUMIFS(Pagos!$E:$E,Pagos!$D:$D,A112))</f>
        <v/>
      </c>
      <c r="K112" s="20">
        <f>IF(A112="","",I112-J112)</f>
        <v/>
      </c>
      <c r="L112" s="22">
        <f>IF(B112="","",B112+60)</f>
        <v/>
      </c>
    </row>
    <row r="113">
      <c r="A113" s="18">
        <f>IF(C113="","","V"&amp;TEXT(ROW()-1,"000"))</f>
        <v/>
      </c>
      <c r="B113" s="19" t="n"/>
      <c r="D113" s="18">
        <f>IFERROR(VLOOKUP(C113,Alumnos!$A:$B,2,FALSE),"")</f>
        <v/>
      </c>
      <c r="F113" s="18">
        <f>IFERROR(VLOOKUP(E113,Catalogo!$A$2:$H$60,4,FALSE),"")</f>
        <v/>
      </c>
      <c r="G113" s="20">
        <f>IFERROR(VLOOKUP(E113,Catalogo!$A$2:$H$60,5,FALSE),"")</f>
        <v/>
      </c>
      <c r="H113" s="21" t="n"/>
      <c r="I113" s="20">
        <f>IF(G113="","",G113-H113)</f>
        <v/>
      </c>
      <c r="J113" s="20">
        <f>IF(A113="","",SUMIFS(Pagos!$E:$E,Pagos!$D:$D,A113))</f>
        <v/>
      </c>
      <c r="K113" s="20">
        <f>IF(A113="","",I113-J113)</f>
        <v/>
      </c>
      <c r="L113" s="22">
        <f>IF(B113="","",B113+60)</f>
        <v/>
      </c>
    </row>
    <row r="114">
      <c r="A114" s="18">
        <f>IF(C114="","","V"&amp;TEXT(ROW()-1,"000"))</f>
        <v/>
      </c>
      <c r="B114" s="19" t="n"/>
      <c r="D114" s="18">
        <f>IFERROR(VLOOKUP(C114,Alumnos!$A:$B,2,FALSE),"")</f>
        <v/>
      </c>
      <c r="F114" s="18">
        <f>IFERROR(VLOOKUP(E114,Catalogo!$A$2:$H$60,4,FALSE),"")</f>
        <v/>
      </c>
      <c r="G114" s="20">
        <f>IFERROR(VLOOKUP(E114,Catalogo!$A$2:$H$60,5,FALSE),"")</f>
        <v/>
      </c>
      <c r="H114" s="21" t="n"/>
      <c r="I114" s="20">
        <f>IF(G114="","",G114-H114)</f>
        <v/>
      </c>
      <c r="J114" s="20">
        <f>IF(A114="","",SUMIFS(Pagos!$E:$E,Pagos!$D:$D,A114))</f>
        <v/>
      </c>
      <c r="K114" s="20">
        <f>IF(A114="","",I114-J114)</f>
        <v/>
      </c>
      <c r="L114" s="22">
        <f>IF(B114="","",B114+60)</f>
        <v/>
      </c>
    </row>
    <row r="115">
      <c r="A115" s="18">
        <f>IF(C115="","","V"&amp;TEXT(ROW()-1,"000"))</f>
        <v/>
      </c>
      <c r="B115" s="19" t="n"/>
      <c r="D115" s="18">
        <f>IFERROR(VLOOKUP(C115,Alumnos!$A:$B,2,FALSE),"")</f>
        <v/>
      </c>
      <c r="F115" s="18">
        <f>IFERROR(VLOOKUP(E115,Catalogo!$A$2:$H$60,4,FALSE),"")</f>
        <v/>
      </c>
      <c r="G115" s="20">
        <f>IFERROR(VLOOKUP(E115,Catalogo!$A$2:$H$60,5,FALSE),"")</f>
        <v/>
      </c>
      <c r="H115" s="21" t="n"/>
      <c r="I115" s="20">
        <f>IF(G115="","",G115-H115)</f>
        <v/>
      </c>
      <c r="J115" s="20">
        <f>IF(A115="","",SUMIFS(Pagos!$E:$E,Pagos!$D:$D,A115))</f>
        <v/>
      </c>
      <c r="K115" s="20">
        <f>IF(A115="","",I115-J115)</f>
        <v/>
      </c>
      <c r="L115" s="22">
        <f>IF(B115="","",B115+60)</f>
        <v/>
      </c>
    </row>
    <row r="116">
      <c r="A116" s="18">
        <f>IF(C116="","","V"&amp;TEXT(ROW()-1,"000"))</f>
        <v/>
      </c>
      <c r="B116" s="19" t="n"/>
      <c r="D116" s="18">
        <f>IFERROR(VLOOKUP(C116,Alumnos!$A:$B,2,FALSE),"")</f>
        <v/>
      </c>
      <c r="F116" s="18">
        <f>IFERROR(VLOOKUP(E116,Catalogo!$A$2:$H$60,4,FALSE),"")</f>
        <v/>
      </c>
      <c r="G116" s="20">
        <f>IFERROR(VLOOKUP(E116,Catalogo!$A$2:$H$60,5,FALSE),"")</f>
        <v/>
      </c>
      <c r="H116" s="21" t="n"/>
      <c r="I116" s="20">
        <f>IF(G116="","",G116-H116)</f>
        <v/>
      </c>
      <c r="J116" s="20">
        <f>IF(A116="","",SUMIFS(Pagos!$E:$E,Pagos!$D:$D,A116))</f>
        <v/>
      </c>
      <c r="K116" s="20">
        <f>IF(A116="","",I116-J116)</f>
        <v/>
      </c>
      <c r="L116" s="22">
        <f>IF(B116="","",B116+60)</f>
        <v/>
      </c>
    </row>
    <row r="117">
      <c r="A117" s="18">
        <f>IF(C117="","","V"&amp;TEXT(ROW()-1,"000"))</f>
        <v/>
      </c>
      <c r="B117" s="19" t="n"/>
      <c r="D117" s="18">
        <f>IFERROR(VLOOKUP(C117,Alumnos!$A:$B,2,FALSE),"")</f>
        <v/>
      </c>
      <c r="F117" s="18">
        <f>IFERROR(VLOOKUP(E117,Catalogo!$A$2:$H$60,4,FALSE),"")</f>
        <v/>
      </c>
      <c r="G117" s="20">
        <f>IFERROR(VLOOKUP(E117,Catalogo!$A$2:$H$60,5,FALSE),"")</f>
        <v/>
      </c>
      <c r="H117" s="21" t="n"/>
      <c r="I117" s="20">
        <f>IF(G117="","",G117-H117)</f>
        <v/>
      </c>
      <c r="J117" s="20">
        <f>IF(A117="","",SUMIFS(Pagos!$E:$E,Pagos!$D:$D,A117))</f>
        <v/>
      </c>
      <c r="K117" s="20">
        <f>IF(A117="","",I117-J117)</f>
        <v/>
      </c>
      <c r="L117" s="22">
        <f>IF(B117="","",B117+60)</f>
        <v/>
      </c>
    </row>
    <row r="118">
      <c r="A118" s="18">
        <f>IF(C118="","","V"&amp;TEXT(ROW()-1,"000"))</f>
        <v/>
      </c>
      <c r="B118" s="19" t="n"/>
      <c r="D118" s="18">
        <f>IFERROR(VLOOKUP(C118,Alumnos!$A:$B,2,FALSE),"")</f>
        <v/>
      </c>
      <c r="F118" s="18">
        <f>IFERROR(VLOOKUP(E118,Catalogo!$A$2:$H$60,4,FALSE),"")</f>
        <v/>
      </c>
      <c r="G118" s="20">
        <f>IFERROR(VLOOKUP(E118,Catalogo!$A$2:$H$60,5,FALSE),"")</f>
        <v/>
      </c>
      <c r="H118" s="21" t="n"/>
      <c r="I118" s="20">
        <f>IF(G118="","",G118-H118)</f>
        <v/>
      </c>
      <c r="J118" s="20">
        <f>IF(A118="","",SUMIFS(Pagos!$E:$E,Pagos!$D:$D,A118))</f>
        <v/>
      </c>
      <c r="K118" s="20">
        <f>IF(A118="","",I118-J118)</f>
        <v/>
      </c>
      <c r="L118" s="22">
        <f>IF(B118="","",B118+60)</f>
        <v/>
      </c>
    </row>
    <row r="119">
      <c r="A119" s="18">
        <f>IF(C119="","","V"&amp;TEXT(ROW()-1,"000"))</f>
        <v/>
      </c>
      <c r="B119" s="19" t="n"/>
      <c r="D119" s="18">
        <f>IFERROR(VLOOKUP(C119,Alumnos!$A:$B,2,FALSE),"")</f>
        <v/>
      </c>
      <c r="F119" s="18">
        <f>IFERROR(VLOOKUP(E119,Catalogo!$A$2:$H$60,4,FALSE),"")</f>
        <v/>
      </c>
      <c r="G119" s="20">
        <f>IFERROR(VLOOKUP(E119,Catalogo!$A$2:$H$60,5,FALSE),"")</f>
        <v/>
      </c>
      <c r="H119" s="21" t="n"/>
      <c r="I119" s="20">
        <f>IF(G119="","",G119-H119)</f>
        <v/>
      </c>
      <c r="J119" s="20">
        <f>IF(A119="","",SUMIFS(Pagos!$E:$E,Pagos!$D:$D,A119))</f>
        <v/>
      </c>
      <c r="K119" s="20">
        <f>IF(A119="","",I119-J119)</f>
        <v/>
      </c>
      <c r="L119" s="22">
        <f>IF(B119="","",B119+60)</f>
        <v/>
      </c>
    </row>
    <row r="120">
      <c r="A120" s="18">
        <f>IF(C120="","","V"&amp;TEXT(ROW()-1,"000"))</f>
        <v/>
      </c>
      <c r="B120" s="19" t="n"/>
      <c r="D120" s="18">
        <f>IFERROR(VLOOKUP(C120,Alumnos!$A:$B,2,FALSE),"")</f>
        <v/>
      </c>
      <c r="F120" s="18">
        <f>IFERROR(VLOOKUP(E120,Catalogo!$A$2:$H$60,4,FALSE),"")</f>
        <v/>
      </c>
      <c r="G120" s="20">
        <f>IFERROR(VLOOKUP(E120,Catalogo!$A$2:$H$60,5,FALSE),"")</f>
        <v/>
      </c>
      <c r="H120" s="21" t="n"/>
      <c r="I120" s="20">
        <f>IF(G120="","",G120-H120)</f>
        <v/>
      </c>
      <c r="J120" s="20">
        <f>IF(A120="","",SUMIFS(Pagos!$E:$E,Pagos!$D:$D,A120))</f>
        <v/>
      </c>
      <c r="K120" s="20">
        <f>IF(A120="","",I120-J120)</f>
        <v/>
      </c>
      <c r="L120" s="22">
        <f>IF(B120="","",B120+60)</f>
        <v/>
      </c>
    </row>
    <row r="121">
      <c r="A121" s="18">
        <f>IF(C121="","","V"&amp;TEXT(ROW()-1,"000"))</f>
        <v/>
      </c>
      <c r="B121" s="19" t="n"/>
      <c r="D121" s="18">
        <f>IFERROR(VLOOKUP(C121,Alumnos!$A:$B,2,FALSE),"")</f>
        <v/>
      </c>
      <c r="F121" s="18">
        <f>IFERROR(VLOOKUP(E121,Catalogo!$A$2:$H$60,4,FALSE),"")</f>
        <v/>
      </c>
      <c r="G121" s="20">
        <f>IFERROR(VLOOKUP(E121,Catalogo!$A$2:$H$60,5,FALSE),"")</f>
        <v/>
      </c>
      <c r="H121" s="21" t="n"/>
      <c r="I121" s="20">
        <f>IF(G121="","",G121-H121)</f>
        <v/>
      </c>
      <c r="J121" s="20">
        <f>IF(A121="","",SUMIFS(Pagos!$E:$E,Pagos!$D:$D,A121))</f>
        <v/>
      </c>
      <c r="K121" s="20">
        <f>IF(A121="","",I121-J121)</f>
        <v/>
      </c>
      <c r="L121" s="22">
        <f>IF(B121="","",B121+60)</f>
        <v/>
      </c>
    </row>
    <row r="122">
      <c r="A122" s="18">
        <f>IF(C122="","","V"&amp;TEXT(ROW()-1,"000"))</f>
        <v/>
      </c>
      <c r="B122" s="19" t="n"/>
      <c r="D122" s="18">
        <f>IFERROR(VLOOKUP(C122,Alumnos!$A:$B,2,FALSE),"")</f>
        <v/>
      </c>
      <c r="F122" s="18">
        <f>IFERROR(VLOOKUP(E122,Catalogo!$A$2:$H$60,4,FALSE),"")</f>
        <v/>
      </c>
      <c r="G122" s="20">
        <f>IFERROR(VLOOKUP(E122,Catalogo!$A$2:$H$60,5,FALSE),"")</f>
        <v/>
      </c>
      <c r="H122" s="21" t="n"/>
      <c r="I122" s="20">
        <f>IF(G122="","",G122-H122)</f>
        <v/>
      </c>
      <c r="J122" s="20">
        <f>IF(A122="","",SUMIFS(Pagos!$E:$E,Pagos!$D:$D,A122))</f>
        <v/>
      </c>
      <c r="K122" s="20">
        <f>IF(A122="","",I122-J122)</f>
        <v/>
      </c>
      <c r="L122" s="22">
        <f>IF(B122="","",B122+60)</f>
        <v/>
      </c>
    </row>
    <row r="123">
      <c r="A123" s="18">
        <f>IF(C123="","","V"&amp;TEXT(ROW()-1,"000"))</f>
        <v/>
      </c>
      <c r="B123" s="19" t="n"/>
      <c r="D123" s="18">
        <f>IFERROR(VLOOKUP(C123,Alumnos!$A:$B,2,FALSE),"")</f>
        <v/>
      </c>
      <c r="F123" s="18">
        <f>IFERROR(VLOOKUP(E123,Catalogo!$A$2:$H$60,4,FALSE),"")</f>
        <v/>
      </c>
      <c r="G123" s="20">
        <f>IFERROR(VLOOKUP(E123,Catalogo!$A$2:$H$60,5,FALSE),"")</f>
        <v/>
      </c>
      <c r="H123" s="21" t="n"/>
      <c r="I123" s="20">
        <f>IF(G123="","",G123-H123)</f>
        <v/>
      </c>
      <c r="J123" s="20">
        <f>IF(A123="","",SUMIFS(Pagos!$E:$E,Pagos!$D:$D,A123))</f>
        <v/>
      </c>
      <c r="K123" s="20">
        <f>IF(A123="","",I123-J123)</f>
        <v/>
      </c>
      <c r="L123" s="22">
        <f>IF(B123="","",B123+60)</f>
        <v/>
      </c>
    </row>
    <row r="124">
      <c r="A124" s="18">
        <f>IF(C124="","","V"&amp;TEXT(ROW()-1,"000"))</f>
        <v/>
      </c>
      <c r="B124" s="19" t="n"/>
      <c r="D124" s="18">
        <f>IFERROR(VLOOKUP(C124,Alumnos!$A:$B,2,FALSE),"")</f>
        <v/>
      </c>
      <c r="F124" s="18">
        <f>IFERROR(VLOOKUP(E124,Catalogo!$A$2:$H$60,4,FALSE),"")</f>
        <v/>
      </c>
      <c r="G124" s="20">
        <f>IFERROR(VLOOKUP(E124,Catalogo!$A$2:$H$60,5,FALSE),"")</f>
        <v/>
      </c>
      <c r="H124" s="21" t="n"/>
      <c r="I124" s="20">
        <f>IF(G124="","",G124-H124)</f>
        <v/>
      </c>
      <c r="J124" s="20">
        <f>IF(A124="","",SUMIFS(Pagos!$E:$E,Pagos!$D:$D,A124))</f>
        <v/>
      </c>
      <c r="K124" s="20">
        <f>IF(A124="","",I124-J124)</f>
        <v/>
      </c>
      <c r="L124" s="22">
        <f>IF(B124="","",B124+60)</f>
        <v/>
      </c>
    </row>
    <row r="125">
      <c r="A125" s="18">
        <f>IF(C125="","","V"&amp;TEXT(ROW()-1,"000"))</f>
        <v/>
      </c>
      <c r="B125" s="19" t="n"/>
      <c r="D125" s="18">
        <f>IFERROR(VLOOKUP(C125,Alumnos!$A:$B,2,FALSE),"")</f>
        <v/>
      </c>
      <c r="F125" s="18">
        <f>IFERROR(VLOOKUP(E125,Catalogo!$A$2:$H$60,4,FALSE),"")</f>
        <v/>
      </c>
      <c r="G125" s="20">
        <f>IFERROR(VLOOKUP(E125,Catalogo!$A$2:$H$60,5,FALSE),"")</f>
        <v/>
      </c>
      <c r="H125" s="21" t="n"/>
      <c r="I125" s="20">
        <f>IF(G125="","",G125-H125)</f>
        <v/>
      </c>
      <c r="J125" s="20">
        <f>IF(A125="","",SUMIFS(Pagos!$E:$E,Pagos!$D:$D,A125))</f>
        <v/>
      </c>
      <c r="K125" s="20">
        <f>IF(A125="","",I125-J125)</f>
        <v/>
      </c>
      <c r="L125" s="22">
        <f>IF(B125="","",B125+60)</f>
        <v/>
      </c>
    </row>
    <row r="126">
      <c r="A126" s="18">
        <f>IF(C126="","","V"&amp;TEXT(ROW()-1,"000"))</f>
        <v/>
      </c>
      <c r="B126" s="19" t="n"/>
      <c r="D126" s="18">
        <f>IFERROR(VLOOKUP(C126,Alumnos!$A:$B,2,FALSE),"")</f>
        <v/>
      </c>
      <c r="F126" s="18">
        <f>IFERROR(VLOOKUP(E126,Catalogo!$A$2:$H$60,4,FALSE),"")</f>
        <v/>
      </c>
      <c r="G126" s="20">
        <f>IFERROR(VLOOKUP(E126,Catalogo!$A$2:$H$60,5,FALSE),"")</f>
        <v/>
      </c>
      <c r="H126" s="21" t="n"/>
      <c r="I126" s="20">
        <f>IF(G126="","",G126-H126)</f>
        <v/>
      </c>
      <c r="J126" s="20">
        <f>IF(A126="","",SUMIFS(Pagos!$E:$E,Pagos!$D:$D,A126))</f>
        <v/>
      </c>
      <c r="K126" s="20">
        <f>IF(A126="","",I126-J126)</f>
        <v/>
      </c>
      <c r="L126" s="22">
        <f>IF(B126="","",B126+60)</f>
        <v/>
      </c>
    </row>
    <row r="127">
      <c r="A127" s="18">
        <f>IF(C127="","","V"&amp;TEXT(ROW()-1,"000"))</f>
        <v/>
      </c>
      <c r="B127" s="19" t="n"/>
      <c r="D127" s="18">
        <f>IFERROR(VLOOKUP(C127,Alumnos!$A:$B,2,FALSE),"")</f>
        <v/>
      </c>
      <c r="F127" s="18">
        <f>IFERROR(VLOOKUP(E127,Catalogo!$A$2:$H$60,4,FALSE),"")</f>
        <v/>
      </c>
      <c r="G127" s="20">
        <f>IFERROR(VLOOKUP(E127,Catalogo!$A$2:$H$60,5,FALSE),"")</f>
        <v/>
      </c>
      <c r="H127" s="21" t="n"/>
      <c r="I127" s="20">
        <f>IF(G127="","",G127-H127)</f>
        <v/>
      </c>
      <c r="J127" s="20">
        <f>IF(A127="","",SUMIFS(Pagos!$E:$E,Pagos!$D:$D,A127))</f>
        <v/>
      </c>
      <c r="K127" s="20">
        <f>IF(A127="","",I127-J127)</f>
        <v/>
      </c>
      <c r="L127" s="22">
        <f>IF(B127="","",B127+60)</f>
        <v/>
      </c>
    </row>
    <row r="128">
      <c r="A128" s="18">
        <f>IF(C128="","","V"&amp;TEXT(ROW()-1,"000"))</f>
        <v/>
      </c>
      <c r="B128" s="19" t="n"/>
      <c r="D128" s="18">
        <f>IFERROR(VLOOKUP(C128,Alumnos!$A:$B,2,FALSE),"")</f>
        <v/>
      </c>
      <c r="F128" s="18">
        <f>IFERROR(VLOOKUP(E128,Catalogo!$A$2:$H$60,4,FALSE),"")</f>
        <v/>
      </c>
      <c r="G128" s="20">
        <f>IFERROR(VLOOKUP(E128,Catalogo!$A$2:$H$60,5,FALSE),"")</f>
        <v/>
      </c>
      <c r="H128" s="21" t="n"/>
      <c r="I128" s="20">
        <f>IF(G128="","",G128-H128)</f>
        <v/>
      </c>
      <c r="J128" s="20">
        <f>IF(A128="","",SUMIFS(Pagos!$E:$E,Pagos!$D:$D,A128))</f>
        <v/>
      </c>
      <c r="K128" s="20">
        <f>IF(A128="","",I128-J128)</f>
        <v/>
      </c>
      <c r="L128" s="22">
        <f>IF(B128="","",B128+60)</f>
        <v/>
      </c>
    </row>
    <row r="129">
      <c r="A129" s="18">
        <f>IF(C129="","","V"&amp;TEXT(ROW()-1,"000"))</f>
        <v/>
      </c>
      <c r="B129" s="19" t="n"/>
      <c r="D129" s="18">
        <f>IFERROR(VLOOKUP(C129,Alumnos!$A:$B,2,FALSE),"")</f>
        <v/>
      </c>
      <c r="F129" s="18">
        <f>IFERROR(VLOOKUP(E129,Catalogo!$A$2:$H$60,4,FALSE),"")</f>
        <v/>
      </c>
      <c r="G129" s="20">
        <f>IFERROR(VLOOKUP(E129,Catalogo!$A$2:$H$60,5,FALSE),"")</f>
        <v/>
      </c>
      <c r="H129" s="21" t="n"/>
      <c r="I129" s="20">
        <f>IF(G129="","",G129-H129)</f>
        <v/>
      </c>
      <c r="J129" s="20">
        <f>IF(A129="","",SUMIFS(Pagos!$E:$E,Pagos!$D:$D,A129))</f>
        <v/>
      </c>
      <c r="K129" s="20">
        <f>IF(A129="","",I129-J129)</f>
        <v/>
      </c>
      <c r="L129" s="22">
        <f>IF(B129="","",B129+60)</f>
        <v/>
      </c>
    </row>
    <row r="130">
      <c r="A130" s="18">
        <f>IF(C130="","","V"&amp;TEXT(ROW()-1,"000"))</f>
        <v/>
      </c>
      <c r="B130" s="19" t="n"/>
      <c r="D130" s="18">
        <f>IFERROR(VLOOKUP(C130,Alumnos!$A:$B,2,FALSE),"")</f>
        <v/>
      </c>
      <c r="F130" s="18">
        <f>IFERROR(VLOOKUP(E130,Catalogo!$A$2:$H$60,4,FALSE),"")</f>
        <v/>
      </c>
      <c r="G130" s="20">
        <f>IFERROR(VLOOKUP(E130,Catalogo!$A$2:$H$60,5,FALSE),"")</f>
        <v/>
      </c>
      <c r="H130" s="21" t="n"/>
      <c r="I130" s="20">
        <f>IF(G130="","",G130-H130)</f>
        <v/>
      </c>
      <c r="J130" s="20">
        <f>IF(A130="","",SUMIFS(Pagos!$E:$E,Pagos!$D:$D,A130))</f>
        <v/>
      </c>
      <c r="K130" s="20">
        <f>IF(A130="","",I130-J130)</f>
        <v/>
      </c>
      <c r="L130" s="22">
        <f>IF(B130="","",B130+60)</f>
        <v/>
      </c>
    </row>
    <row r="131">
      <c r="A131" s="18">
        <f>IF(C131="","","V"&amp;TEXT(ROW()-1,"000"))</f>
        <v/>
      </c>
      <c r="B131" s="19" t="n"/>
      <c r="D131" s="18">
        <f>IFERROR(VLOOKUP(C131,Alumnos!$A:$B,2,FALSE),"")</f>
        <v/>
      </c>
      <c r="F131" s="18">
        <f>IFERROR(VLOOKUP(E131,Catalogo!$A$2:$H$60,4,FALSE),"")</f>
        <v/>
      </c>
      <c r="G131" s="20">
        <f>IFERROR(VLOOKUP(E131,Catalogo!$A$2:$H$60,5,FALSE),"")</f>
        <v/>
      </c>
      <c r="H131" s="21" t="n"/>
      <c r="I131" s="20">
        <f>IF(G131="","",G131-H131)</f>
        <v/>
      </c>
      <c r="J131" s="20">
        <f>IF(A131="","",SUMIFS(Pagos!$E:$E,Pagos!$D:$D,A131))</f>
        <v/>
      </c>
      <c r="K131" s="20">
        <f>IF(A131="","",I131-J131)</f>
        <v/>
      </c>
      <c r="L131" s="22">
        <f>IF(B131="","",B131+60)</f>
        <v/>
      </c>
    </row>
    <row r="132">
      <c r="A132" s="18">
        <f>IF(C132="","","V"&amp;TEXT(ROW()-1,"000"))</f>
        <v/>
      </c>
      <c r="B132" s="19" t="n"/>
      <c r="D132" s="18">
        <f>IFERROR(VLOOKUP(C132,Alumnos!$A:$B,2,FALSE),"")</f>
        <v/>
      </c>
      <c r="F132" s="18">
        <f>IFERROR(VLOOKUP(E132,Catalogo!$A$2:$H$60,4,FALSE),"")</f>
        <v/>
      </c>
      <c r="G132" s="20">
        <f>IFERROR(VLOOKUP(E132,Catalogo!$A$2:$H$60,5,FALSE),"")</f>
        <v/>
      </c>
      <c r="H132" s="21" t="n"/>
      <c r="I132" s="20">
        <f>IF(G132="","",G132-H132)</f>
        <v/>
      </c>
      <c r="J132" s="20">
        <f>IF(A132="","",SUMIFS(Pagos!$E:$E,Pagos!$D:$D,A132))</f>
        <v/>
      </c>
      <c r="K132" s="20">
        <f>IF(A132="","",I132-J132)</f>
        <v/>
      </c>
      <c r="L132" s="22">
        <f>IF(B132="","",B132+60)</f>
        <v/>
      </c>
    </row>
    <row r="133">
      <c r="A133" s="18">
        <f>IF(C133="","","V"&amp;TEXT(ROW()-1,"000"))</f>
        <v/>
      </c>
      <c r="B133" s="19" t="n"/>
      <c r="D133" s="18">
        <f>IFERROR(VLOOKUP(C133,Alumnos!$A:$B,2,FALSE),"")</f>
        <v/>
      </c>
      <c r="F133" s="18">
        <f>IFERROR(VLOOKUP(E133,Catalogo!$A$2:$H$60,4,FALSE),"")</f>
        <v/>
      </c>
      <c r="G133" s="20">
        <f>IFERROR(VLOOKUP(E133,Catalogo!$A$2:$H$60,5,FALSE),"")</f>
        <v/>
      </c>
      <c r="H133" s="21" t="n"/>
      <c r="I133" s="20">
        <f>IF(G133="","",G133-H133)</f>
        <v/>
      </c>
      <c r="J133" s="20">
        <f>IF(A133="","",SUMIFS(Pagos!$E:$E,Pagos!$D:$D,A133))</f>
        <v/>
      </c>
      <c r="K133" s="20">
        <f>IF(A133="","",I133-J133)</f>
        <v/>
      </c>
      <c r="L133" s="22">
        <f>IF(B133="","",B133+60)</f>
        <v/>
      </c>
    </row>
    <row r="134">
      <c r="A134" s="18">
        <f>IF(C134="","","V"&amp;TEXT(ROW()-1,"000"))</f>
        <v/>
      </c>
      <c r="B134" s="19" t="n"/>
      <c r="D134" s="18">
        <f>IFERROR(VLOOKUP(C134,Alumnos!$A:$B,2,FALSE),"")</f>
        <v/>
      </c>
      <c r="F134" s="18">
        <f>IFERROR(VLOOKUP(E134,Catalogo!$A$2:$H$60,4,FALSE),"")</f>
        <v/>
      </c>
      <c r="G134" s="20">
        <f>IFERROR(VLOOKUP(E134,Catalogo!$A$2:$H$60,5,FALSE),"")</f>
        <v/>
      </c>
      <c r="H134" s="21" t="n"/>
      <c r="I134" s="20">
        <f>IF(G134="","",G134-H134)</f>
        <v/>
      </c>
      <c r="J134" s="20">
        <f>IF(A134="","",SUMIFS(Pagos!$E:$E,Pagos!$D:$D,A134))</f>
        <v/>
      </c>
      <c r="K134" s="20">
        <f>IF(A134="","",I134-J134)</f>
        <v/>
      </c>
      <c r="L134" s="22">
        <f>IF(B134="","",B134+60)</f>
        <v/>
      </c>
    </row>
    <row r="135">
      <c r="A135" s="18">
        <f>IF(C135="","","V"&amp;TEXT(ROW()-1,"000"))</f>
        <v/>
      </c>
      <c r="B135" s="19" t="n"/>
      <c r="D135" s="18">
        <f>IFERROR(VLOOKUP(C135,Alumnos!$A:$B,2,FALSE),"")</f>
        <v/>
      </c>
      <c r="F135" s="18">
        <f>IFERROR(VLOOKUP(E135,Catalogo!$A$2:$H$60,4,FALSE),"")</f>
        <v/>
      </c>
      <c r="G135" s="20">
        <f>IFERROR(VLOOKUP(E135,Catalogo!$A$2:$H$60,5,FALSE),"")</f>
        <v/>
      </c>
      <c r="H135" s="21" t="n"/>
      <c r="I135" s="20">
        <f>IF(G135="","",G135-H135)</f>
        <v/>
      </c>
      <c r="J135" s="20">
        <f>IF(A135="","",SUMIFS(Pagos!$E:$E,Pagos!$D:$D,A135))</f>
        <v/>
      </c>
      <c r="K135" s="20">
        <f>IF(A135="","",I135-J135)</f>
        <v/>
      </c>
      <c r="L135" s="22">
        <f>IF(B135="","",B135+60)</f>
        <v/>
      </c>
    </row>
    <row r="136">
      <c r="A136" s="18">
        <f>IF(C136="","","V"&amp;TEXT(ROW()-1,"000"))</f>
        <v/>
      </c>
      <c r="B136" s="19" t="n"/>
      <c r="D136" s="18">
        <f>IFERROR(VLOOKUP(C136,Alumnos!$A:$B,2,FALSE),"")</f>
        <v/>
      </c>
      <c r="F136" s="18">
        <f>IFERROR(VLOOKUP(E136,Catalogo!$A$2:$H$60,4,FALSE),"")</f>
        <v/>
      </c>
      <c r="G136" s="20">
        <f>IFERROR(VLOOKUP(E136,Catalogo!$A$2:$H$60,5,FALSE),"")</f>
        <v/>
      </c>
      <c r="H136" s="21" t="n"/>
      <c r="I136" s="20">
        <f>IF(G136="","",G136-H136)</f>
        <v/>
      </c>
      <c r="J136" s="20">
        <f>IF(A136="","",SUMIFS(Pagos!$E:$E,Pagos!$D:$D,A136))</f>
        <v/>
      </c>
      <c r="K136" s="20">
        <f>IF(A136="","",I136-J136)</f>
        <v/>
      </c>
      <c r="L136" s="22">
        <f>IF(B136="","",B136+60)</f>
        <v/>
      </c>
    </row>
    <row r="137">
      <c r="A137" s="18">
        <f>IF(C137="","","V"&amp;TEXT(ROW()-1,"000"))</f>
        <v/>
      </c>
      <c r="B137" s="19" t="n"/>
      <c r="D137" s="18">
        <f>IFERROR(VLOOKUP(C137,Alumnos!$A:$B,2,FALSE),"")</f>
        <v/>
      </c>
      <c r="F137" s="18">
        <f>IFERROR(VLOOKUP(E137,Catalogo!$A$2:$H$60,4,FALSE),"")</f>
        <v/>
      </c>
      <c r="G137" s="20">
        <f>IFERROR(VLOOKUP(E137,Catalogo!$A$2:$H$60,5,FALSE),"")</f>
        <v/>
      </c>
      <c r="H137" s="21" t="n"/>
      <c r="I137" s="20">
        <f>IF(G137="","",G137-H137)</f>
        <v/>
      </c>
      <c r="J137" s="20">
        <f>IF(A137="","",SUMIFS(Pagos!$E:$E,Pagos!$D:$D,A137))</f>
        <v/>
      </c>
      <c r="K137" s="20">
        <f>IF(A137="","",I137-J137)</f>
        <v/>
      </c>
      <c r="L137" s="22">
        <f>IF(B137="","",B137+60)</f>
        <v/>
      </c>
    </row>
    <row r="138">
      <c r="A138" s="18">
        <f>IF(C138="","","V"&amp;TEXT(ROW()-1,"000"))</f>
        <v/>
      </c>
      <c r="B138" s="19" t="n"/>
      <c r="D138" s="18">
        <f>IFERROR(VLOOKUP(C138,Alumnos!$A:$B,2,FALSE),"")</f>
        <v/>
      </c>
      <c r="F138" s="18">
        <f>IFERROR(VLOOKUP(E138,Catalogo!$A$2:$H$60,4,FALSE),"")</f>
        <v/>
      </c>
      <c r="G138" s="20">
        <f>IFERROR(VLOOKUP(E138,Catalogo!$A$2:$H$60,5,FALSE),"")</f>
        <v/>
      </c>
      <c r="H138" s="21" t="n"/>
      <c r="I138" s="20">
        <f>IF(G138="","",G138-H138)</f>
        <v/>
      </c>
      <c r="J138" s="20">
        <f>IF(A138="","",SUMIFS(Pagos!$E:$E,Pagos!$D:$D,A138))</f>
        <v/>
      </c>
      <c r="K138" s="20">
        <f>IF(A138="","",I138-J138)</f>
        <v/>
      </c>
      <c r="L138" s="22">
        <f>IF(B138="","",B138+60)</f>
        <v/>
      </c>
    </row>
    <row r="139">
      <c r="A139" s="18">
        <f>IF(C139="","","V"&amp;TEXT(ROW()-1,"000"))</f>
        <v/>
      </c>
      <c r="B139" s="19" t="n"/>
      <c r="D139" s="18">
        <f>IFERROR(VLOOKUP(C139,Alumnos!$A:$B,2,FALSE),"")</f>
        <v/>
      </c>
      <c r="F139" s="18">
        <f>IFERROR(VLOOKUP(E139,Catalogo!$A$2:$H$60,4,FALSE),"")</f>
        <v/>
      </c>
      <c r="G139" s="20">
        <f>IFERROR(VLOOKUP(E139,Catalogo!$A$2:$H$60,5,FALSE),"")</f>
        <v/>
      </c>
      <c r="H139" s="21" t="n"/>
      <c r="I139" s="20">
        <f>IF(G139="","",G139-H139)</f>
        <v/>
      </c>
      <c r="J139" s="20">
        <f>IF(A139="","",SUMIFS(Pagos!$E:$E,Pagos!$D:$D,A139))</f>
        <v/>
      </c>
      <c r="K139" s="20">
        <f>IF(A139="","",I139-J139)</f>
        <v/>
      </c>
      <c r="L139" s="22">
        <f>IF(B139="","",B139+60)</f>
        <v/>
      </c>
    </row>
    <row r="140">
      <c r="A140" s="18">
        <f>IF(C140="","","V"&amp;TEXT(ROW()-1,"000"))</f>
        <v/>
      </c>
      <c r="B140" s="19" t="n"/>
      <c r="D140" s="18">
        <f>IFERROR(VLOOKUP(C140,Alumnos!$A:$B,2,FALSE),"")</f>
        <v/>
      </c>
      <c r="F140" s="18">
        <f>IFERROR(VLOOKUP(E140,Catalogo!$A$2:$H$60,4,FALSE),"")</f>
        <v/>
      </c>
      <c r="G140" s="20">
        <f>IFERROR(VLOOKUP(E140,Catalogo!$A$2:$H$60,5,FALSE),"")</f>
        <v/>
      </c>
      <c r="H140" s="21" t="n"/>
      <c r="I140" s="20">
        <f>IF(G140="","",G140-H140)</f>
        <v/>
      </c>
      <c r="J140" s="20">
        <f>IF(A140="","",SUMIFS(Pagos!$E:$E,Pagos!$D:$D,A140))</f>
        <v/>
      </c>
      <c r="K140" s="20">
        <f>IF(A140="","",I140-J140)</f>
        <v/>
      </c>
      <c r="L140" s="22">
        <f>IF(B140="","",B140+60)</f>
        <v/>
      </c>
    </row>
    <row r="141">
      <c r="A141" s="18">
        <f>IF(C141="","","V"&amp;TEXT(ROW()-1,"000"))</f>
        <v/>
      </c>
      <c r="B141" s="19" t="n"/>
      <c r="D141" s="18">
        <f>IFERROR(VLOOKUP(C141,Alumnos!$A:$B,2,FALSE),"")</f>
        <v/>
      </c>
      <c r="F141" s="18">
        <f>IFERROR(VLOOKUP(E141,Catalogo!$A$2:$H$60,4,FALSE),"")</f>
        <v/>
      </c>
      <c r="G141" s="20">
        <f>IFERROR(VLOOKUP(E141,Catalogo!$A$2:$H$60,5,FALSE),"")</f>
        <v/>
      </c>
      <c r="H141" s="21" t="n"/>
      <c r="I141" s="20">
        <f>IF(G141="","",G141-H141)</f>
        <v/>
      </c>
      <c r="J141" s="20">
        <f>IF(A141="","",SUMIFS(Pagos!$E:$E,Pagos!$D:$D,A141))</f>
        <v/>
      </c>
      <c r="K141" s="20">
        <f>IF(A141="","",I141-J141)</f>
        <v/>
      </c>
      <c r="L141" s="22">
        <f>IF(B141="","",B141+60)</f>
        <v/>
      </c>
    </row>
    <row r="142">
      <c r="A142" s="18">
        <f>IF(C142="","","V"&amp;TEXT(ROW()-1,"000"))</f>
        <v/>
      </c>
      <c r="B142" s="19" t="n"/>
      <c r="D142" s="18">
        <f>IFERROR(VLOOKUP(C142,Alumnos!$A:$B,2,FALSE),"")</f>
        <v/>
      </c>
      <c r="F142" s="18">
        <f>IFERROR(VLOOKUP(E142,Catalogo!$A$2:$H$60,4,FALSE),"")</f>
        <v/>
      </c>
      <c r="G142" s="20">
        <f>IFERROR(VLOOKUP(E142,Catalogo!$A$2:$H$60,5,FALSE),"")</f>
        <v/>
      </c>
      <c r="H142" s="21" t="n"/>
      <c r="I142" s="20">
        <f>IF(G142="","",G142-H142)</f>
        <v/>
      </c>
      <c r="J142" s="20">
        <f>IF(A142="","",SUMIFS(Pagos!$E:$E,Pagos!$D:$D,A142))</f>
        <v/>
      </c>
      <c r="K142" s="20">
        <f>IF(A142="","",I142-J142)</f>
        <v/>
      </c>
      <c r="L142" s="22">
        <f>IF(B142="","",B142+60)</f>
        <v/>
      </c>
    </row>
    <row r="143">
      <c r="A143" s="18">
        <f>IF(C143="","","V"&amp;TEXT(ROW()-1,"000"))</f>
        <v/>
      </c>
      <c r="B143" s="19" t="n"/>
      <c r="D143" s="18">
        <f>IFERROR(VLOOKUP(C143,Alumnos!$A:$B,2,FALSE),"")</f>
        <v/>
      </c>
      <c r="F143" s="18">
        <f>IFERROR(VLOOKUP(E143,Catalogo!$A$2:$H$60,4,FALSE),"")</f>
        <v/>
      </c>
      <c r="G143" s="20">
        <f>IFERROR(VLOOKUP(E143,Catalogo!$A$2:$H$60,5,FALSE),"")</f>
        <v/>
      </c>
      <c r="H143" s="21" t="n"/>
      <c r="I143" s="20">
        <f>IF(G143="","",G143-H143)</f>
        <v/>
      </c>
      <c r="J143" s="20">
        <f>IF(A143="","",SUMIFS(Pagos!$E:$E,Pagos!$D:$D,A143))</f>
        <v/>
      </c>
      <c r="K143" s="20">
        <f>IF(A143="","",I143-J143)</f>
        <v/>
      </c>
      <c r="L143" s="22">
        <f>IF(B143="","",B143+60)</f>
        <v/>
      </c>
    </row>
    <row r="144">
      <c r="A144" s="18">
        <f>IF(C144="","","V"&amp;TEXT(ROW()-1,"000"))</f>
        <v/>
      </c>
      <c r="B144" s="19" t="n"/>
      <c r="D144" s="18">
        <f>IFERROR(VLOOKUP(C144,Alumnos!$A:$B,2,FALSE),"")</f>
        <v/>
      </c>
      <c r="F144" s="18">
        <f>IFERROR(VLOOKUP(E144,Catalogo!$A$2:$H$60,4,FALSE),"")</f>
        <v/>
      </c>
      <c r="G144" s="20">
        <f>IFERROR(VLOOKUP(E144,Catalogo!$A$2:$H$60,5,FALSE),"")</f>
        <v/>
      </c>
      <c r="H144" s="21" t="n"/>
      <c r="I144" s="20">
        <f>IF(G144="","",G144-H144)</f>
        <v/>
      </c>
      <c r="J144" s="20">
        <f>IF(A144="","",SUMIFS(Pagos!$E:$E,Pagos!$D:$D,A144))</f>
        <v/>
      </c>
      <c r="K144" s="20">
        <f>IF(A144="","",I144-J144)</f>
        <v/>
      </c>
      <c r="L144" s="22">
        <f>IF(B144="","",B144+60)</f>
        <v/>
      </c>
    </row>
    <row r="145">
      <c r="A145" s="18">
        <f>IF(C145="","","V"&amp;TEXT(ROW()-1,"000"))</f>
        <v/>
      </c>
      <c r="B145" s="19" t="n"/>
      <c r="D145" s="18">
        <f>IFERROR(VLOOKUP(C145,Alumnos!$A:$B,2,FALSE),"")</f>
        <v/>
      </c>
      <c r="F145" s="18">
        <f>IFERROR(VLOOKUP(E145,Catalogo!$A$2:$H$60,4,FALSE),"")</f>
        <v/>
      </c>
      <c r="G145" s="20">
        <f>IFERROR(VLOOKUP(E145,Catalogo!$A$2:$H$60,5,FALSE),"")</f>
        <v/>
      </c>
      <c r="H145" s="21" t="n"/>
      <c r="I145" s="20">
        <f>IF(G145="","",G145-H145)</f>
        <v/>
      </c>
      <c r="J145" s="20">
        <f>IF(A145="","",SUMIFS(Pagos!$E:$E,Pagos!$D:$D,A145))</f>
        <v/>
      </c>
      <c r="K145" s="20">
        <f>IF(A145="","",I145-J145)</f>
        <v/>
      </c>
      <c r="L145" s="22">
        <f>IF(B145="","",B145+60)</f>
        <v/>
      </c>
    </row>
    <row r="146">
      <c r="A146" s="18">
        <f>IF(C146="","","V"&amp;TEXT(ROW()-1,"000"))</f>
        <v/>
      </c>
      <c r="B146" s="19" t="n"/>
      <c r="D146" s="18">
        <f>IFERROR(VLOOKUP(C146,Alumnos!$A:$B,2,FALSE),"")</f>
        <v/>
      </c>
      <c r="F146" s="18">
        <f>IFERROR(VLOOKUP(E146,Catalogo!$A$2:$H$60,4,FALSE),"")</f>
        <v/>
      </c>
      <c r="G146" s="20">
        <f>IFERROR(VLOOKUP(E146,Catalogo!$A$2:$H$60,5,FALSE),"")</f>
        <v/>
      </c>
      <c r="H146" s="21" t="n"/>
      <c r="I146" s="20">
        <f>IF(G146="","",G146-H146)</f>
        <v/>
      </c>
      <c r="J146" s="20">
        <f>IF(A146="","",SUMIFS(Pagos!$E:$E,Pagos!$D:$D,A146))</f>
        <v/>
      </c>
      <c r="K146" s="20">
        <f>IF(A146="","",I146-J146)</f>
        <v/>
      </c>
      <c r="L146" s="22">
        <f>IF(B146="","",B146+60)</f>
        <v/>
      </c>
    </row>
    <row r="147">
      <c r="A147" s="18">
        <f>IF(C147="","","V"&amp;TEXT(ROW()-1,"000"))</f>
        <v/>
      </c>
      <c r="B147" s="19" t="n"/>
      <c r="D147" s="18">
        <f>IFERROR(VLOOKUP(C147,Alumnos!$A:$B,2,FALSE),"")</f>
        <v/>
      </c>
      <c r="F147" s="18">
        <f>IFERROR(VLOOKUP(E147,Catalogo!$A$2:$H$60,4,FALSE),"")</f>
        <v/>
      </c>
      <c r="G147" s="20">
        <f>IFERROR(VLOOKUP(E147,Catalogo!$A$2:$H$60,5,FALSE),"")</f>
        <v/>
      </c>
      <c r="H147" s="21" t="n"/>
      <c r="I147" s="20">
        <f>IF(G147="","",G147-H147)</f>
        <v/>
      </c>
      <c r="J147" s="20">
        <f>IF(A147="","",SUMIFS(Pagos!$E:$E,Pagos!$D:$D,A147))</f>
        <v/>
      </c>
      <c r="K147" s="20">
        <f>IF(A147="","",I147-J147)</f>
        <v/>
      </c>
      <c r="L147" s="22">
        <f>IF(B147="","",B147+60)</f>
        <v/>
      </c>
    </row>
    <row r="148">
      <c r="A148" s="18">
        <f>IF(C148="","","V"&amp;TEXT(ROW()-1,"000"))</f>
        <v/>
      </c>
      <c r="B148" s="19" t="n"/>
      <c r="D148" s="18">
        <f>IFERROR(VLOOKUP(C148,Alumnos!$A:$B,2,FALSE),"")</f>
        <v/>
      </c>
      <c r="F148" s="18">
        <f>IFERROR(VLOOKUP(E148,Catalogo!$A$2:$H$60,4,FALSE),"")</f>
        <v/>
      </c>
      <c r="G148" s="20">
        <f>IFERROR(VLOOKUP(E148,Catalogo!$A$2:$H$60,5,FALSE),"")</f>
        <v/>
      </c>
      <c r="H148" s="21" t="n"/>
      <c r="I148" s="20">
        <f>IF(G148="","",G148-H148)</f>
        <v/>
      </c>
      <c r="J148" s="20">
        <f>IF(A148="","",SUMIFS(Pagos!$E:$E,Pagos!$D:$D,A148))</f>
        <v/>
      </c>
      <c r="K148" s="20">
        <f>IF(A148="","",I148-J148)</f>
        <v/>
      </c>
      <c r="L148" s="22">
        <f>IF(B148="","",B148+60)</f>
        <v/>
      </c>
    </row>
    <row r="149">
      <c r="A149" s="18">
        <f>IF(C149="","","V"&amp;TEXT(ROW()-1,"000"))</f>
        <v/>
      </c>
      <c r="B149" s="19" t="n"/>
      <c r="D149" s="18">
        <f>IFERROR(VLOOKUP(C149,Alumnos!$A:$B,2,FALSE),"")</f>
        <v/>
      </c>
      <c r="F149" s="18">
        <f>IFERROR(VLOOKUP(E149,Catalogo!$A$2:$H$60,4,FALSE),"")</f>
        <v/>
      </c>
      <c r="G149" s="20">
        <f>IFERROR(VLOOKUP(E149,Catalogo!$A$2:$H$60,5,FALSE),"")</f>
        <v/>
      </c>
      <c r="H149" s="21" t="n"/>
      <c r="I149" s="20">
        <f>IF(G149="","",G149-H149)</f>
        <v/>
      </c>
      <c r="J149" s="20">
        <f>IF(A149="","",SUMIFS(Pagos!$E:$E,Pagos!$D:$D,A149))</f>
        <v/>
      </c>
      <c r="K149" s="20">
        <f>IF(A149="","",I149-J149)</f>
        <v/>
      </c>
      <c r="L149" s="22">
        <f>IF(B149="","",B149+60)</f>
        <v/>
      </c>
    </row>
    <row r="150">
      <c r="A150" s="18">
        <f>IF(C150="","","V"&amp;TEXT(ROW()-1,"000"))</f>
        <v/>
      </c>
      <c r="B150" s="19" t="n"/>
      <c r="D150" s="18">
        <f>IFERROR(VLOOKUP(C150,Alumnos!$A:$B,2,FALSE),"")</f>
        <v/>
      </c>
      <c r="F150" s="18">
        <f>IFERROR(VLOOKUP(E150,Catalogo!$A$2:$H$60,4,FALSE),"")</f>
        <v/>
      </c>
      <c r="G150" s="20">
        <f>IFERROR(VLOOKUP(E150,Catalogo!$A$2:$H$60,5,FALSE),"")</f>
        <v/>
      </c>
      <c r="H150" s="21" t="n"/>
      <c r="I150" s="20">
        <f>IF(G150="","",G150-H150)</f>
        <v/>
      </c>
      <c r="J150" s="20">
        <f>IF(A150="","",SUMIFS(Pagos!$E:$E,Pagos!$D:$D,A150))</f>
        <v/>
      </c>
      <c r="K150" s="20">
        <f>IF(A150="","",I150-J150)</f>
        <v/>
      </c>
      <c r="L150" s="22">
        <f>IF(B150="","",B150+60)</f>
        <v/>
      </c>
    </row>
    <row r="151">
      <c r="A151" s="18">
        <f>IF(C151="","","V"&amp;TEXT(ROW()-1,"000"))</f>
        <v/>
      </c>
      <c r="B151" s="19" t="n"/>
      <c r="D151" s="18">
        <f>IFERROR(VLOOKUP(C151,Alumnos!$A:$B,2,FALSE),"")</f>
        <v/>
      </c>
      <c r="F151" s="18">
        <f>IFERROR(VLOOKUP(E151,Catalogo!$A$2:$H$60,4,FALSE),"")</f>
        <v/>
      </c>
      <c r="G151" s="20">
        <f>IFERROR(VLOOKUP(E151,Catalogo!$A$2:$H$60,5,FALSE),"")</f>
        <v/>
      </c>
      <c r="H151" s="21" t="n"/>
      <c r="I151" s="20">
        <f>IF(G151="","",G151-H151)</f>
        <v/>
      </c>
      <c r="J151" s="20">
        <f>IF(A151="","",SUMIFS(Pagos!$E:$E,Pagos!$D:$D,A151))</f>
        <v/>
      </c>
      <c r="K151" s="20">
        <f>IF(A151="","",I151-J151)</f>
        <v/>
      </c>
      <c r="L151" s="22">
        <f>IF(B151="","",B151+60)</f>
        <v/>
      </c>
    </row>
    <row r="152">
      <c r="A152" s="18">
        <f>IF(C152="","","V"&amp;TEXT(ROW()-1,"000"))</f>
        <v/>
      </c>
      <c r="B152" s="19" t="n"/>
      <c r="D152" s="18">
        <f>IFERROR(VLOOKUP(C152,Alumnos!$A:$B,2,FALSE),"")</f>
        <v/>
      </c>
      <c r="F152" s="18">
        <f>IFERROR(VLOOKUP(E152,Catalogo!$A$2:$H$60,4,FALSE),"")</f>
        <v/>
      </c>
      <c r="G152" s="20">
        <f>IFERROR(VLOOKUP(E152,Catalogo!$A$2:$H$60,5,FALSE),"")</f>
        <v/>
      </c>
      <c r="H152" s="21" t="n"/>
      <c r="I152" s="20">
        <f>IF(G152="","",G152-H152)</f>
        <v/>
      </c>
      <c r="J152" s="20">
        <f>IF(A152="","",SUMIFS(Pagos!$E:$E,Pagos!$D:$D,A152))</f>
        <v/>
      </c>
      <c r="K152" s="20">
        <f>IF(A152="","",I152-J152)</f>
        <v/>
      </c>
      <c r="L152" s="22">
        <f>IF(B152="","",B152+60)</f>
        <v/>
      </c>
    </row>
    <row r="153">
      <c r="A153" s="18">
        <f>IF(C153="","","V"&amp;TEXT(ROW()-1,"000"))</f>
        <v/>
      </c>
      <c r="B153" s="19" t="n"/>
      <c r="D153" s="18">
        <f>IFERROR(VLOOKUP(C153,Alumnos!$A:$B,2,FALSE),"")</f>
        <v/>
      </c>
      <c r="F153" s="18">
        <f>IFERROR(VLOOKUP(E153,Catalogo!$A$2:$H$60,4,FALSE),"")</f>
        <v/>
      </c>
      <c r="G153" s="20">
        <f>IFERROR(VLOOKUP(E153,Catalogo!$A$2:$H$60,5,FALSE),"")</f>
        <v/>
      </c>
      <c r="H153" s="21" t="n"/>
      <c r="I153" s="20">
        <f>IF(G153="","",G153-H153)</f>
        <v/>
      </c>
      <c r="J153" s="20">
        <f>IF(A153="","",SUMIFS(Pagos!$E:$E,Pagos!$D:$D,A153))</f>
        <v/>
      </c>
      <c r="K153" s="20">
        <f>IF(A153="","",I153-J153)</f>
        <v/>
      </c>
      <c r="L153" s="22">
        <f>IF(B153="","",B153+60)</f>
        <v/>
      </c>
    </row>
    <row r="154">
      <c r="A154" s="18">
        <f>IF(C154="","","V"&amp;TEXT(ROW()-1,"000"))</f>
        <v/>
      </c>
      <c r="B154" s="19" t="n"/>
      <c r="D154" s="18">
        <f>IFERROR(VLOOKUP(C154,Alumnos!$A:$B,2,FALSE),"")</f>
        <v/>
      </c>
      <c r="F154" s="18">
        <f>IFERROR(VLOOKUP(E154,Catalogo!$A$2:$H$60,4,FALSE),"")</f>
        <v/>
      </c>
      <c r="G154" s="20">
        <f>IFERROR(VLOOKUP(E154,Catalogo!$A$2:$H$60,5,FALSE),"")</f>
        <v/>
      </c>
      <c r="H154" s="21" t="n"/>
      <c r="I154" s="20">
        <f>IF(G154="","",G154-H154)</f>
        <v/>
      </c>
      <c r="J154" s="20">
        <f>IF(A154="","",SUMIFS(Pagos!$E:$E,Pagos!$D:$D,A154))</f>
        <v/>
      </c>
      <c r="K154" s="20">
        <f>IF(A154="","",I154-J154)</f>
        <v/>
      </c>
      <c r="L154" s="22">
        <f>IF(B154="","",B154+60)</f>
        <v/>
      </c>
    </row>
    <row r="155">
      <c r="A155" s="18">
        <f>IF(C155="","","V"&amp;TEXT(ROW()-1,"000"))</f>
        <v/>
      </c>
      <c r="B155" s="19" t="n"/>
      <c r="D155" s="18">
        <f>IFERROR(VLOOKUP(C155,Alumnos!$A:$B,2,FALSE),"")</f>
        <v/>
      </c>
      <c r="F155" s="18">
        <f>IFERROR(VLOOKUP(E155,Catalogo!$A$2:$H$60,4,FALSE),"")</f>
        <v/>
      </c>
      <c r="G155" s="20">
        <f>IFERROR(VLOOKUP(E155,Catalogo!$A$2:$H$60,5,FALSE),"")</f>
        <v/>
      </c>
      <c r="H155" s="21" t="n"/>
      <c r="I155" s="20">
        <f>IF(G155="","",G155-H155)</f>
        <v/>
      </c>
      <c r="J155" s="20">
        <f>IF(A155="","",SUMIFS(Pagos!$E:$E,Pagos!$D:$D,A155))</f>
        <v/>
      </c>
      <c r="K155" s="20">
        <f>IF(A155="","",I155-J155)</f>
        <v/>
      </c>
      <c r="L155" s="22">
        <f>IF(B155="","",B155+60)</f>
        <v/>
      </c>
    </row>
    <row r="156">
      <c r="A156" s="18">
        <f>IF(C156="","","V"&amp;TEXT(ROW()-1,"000"))</f>
        <v/>
      </c>
      <c r="B156" s="19" t="n"/>
      <c r="D156" s="18">
        <f>IFERROR(VLOOKUP(C156,Alumnos!$A:$B,2,FALSE),"")</f>
        <v/>
      </c>
      <c r="F156" s="18">
        <f>IFERROR(VLOOKUP(E156,Catalogo!$A$2:$H$60,4,FALSE),"")</f>
        <v/>
      </c>
      <c r="G156" s="20">
        <f>IFERROR(VLOOKUP(E156,Catalogo!$A$2:$H$60,5,FALSE),"")</f>
        <v/>
      </c>
      <c r="H156" s="21" t="n"/>
      <c r="I156" s="20">
        <f>IF(G156="","",G156-H156)</f>
        <v/>
      </c>
      <c r="J156" s="20">
        <f>IF(A156="","",SUMIFS(Pagos!$E:$E,Pagos!$D:$D,A156))</f>
        <v/>
      </c>
      <c r="K156" s="20">
        <f>IF(A156="","",I156-J156)</f>
        <v/>
      </c>
      <c r="L156" s="22">
        <f>IF(B156="","",B156+60)</f>
        <v/>
      </c>
    </row>
    <row r="157">
      <c r="A157" s="18">
        <f>IF(C157="","","V"&amp;TEXT(ROW()-1,"000"))</f>
        <v/>
      </c>
      <c r="B157" s="19" t="n"/>
      <c r="D157" s="18">
        <f>IFERROR(VLOOKUP(C157,Alumnos!$A:$B,2,FALSE),"")</f>
        <v/>
      </c>
      <c r="F157" s="18">
        <f>IFERROR(VLOOKUP(E157,Catalogo!$A$2:$H$60,4,FALSE),"")</f>
        <v/>
      </c>
      <c r="G157" s="20">
        <f>IFERROR(VLOOKUP(E157,Catalogo!$A$2:$H$60,5,FALSE),"")</f>
        <v/>
      </c>
      <c r="H157" s="21" t="n"/>
      <c r="I157" s="20">
        <f>IF(G157="","",G157-H157)</f>
        <v/>
      </c>
      <c r="J157" s="20">
        <f>IF(A157="","",SUMIFS(Pagos!$E:$E,Pagos!$D:$D,A157))</f>
        <v/>
      </c>
      <c r="K157" s="20">
        <f>IF(A157="","",I157-J157)</f>
        <v/>
      </c>
      <c r="L157" s="22">
        <f>IF(B157="","",B157+60)</f>
        <v/>
      </c>
    </row>
    <row r="158">
      <c r="A158" s="18">
        <f>IF(C158="","","V"&amp;TEXT(ROW()-1,"000"))</f>
        <v/>
      </c>
      <c r="B158" s="19" t="n"/>
      <c r="D158" s="18">
        <f>IFERROR(VLOOKUP(C158,Alumnos!$A:$B,2,FALSE),"")</f>
        <v/>
      </c>
      <c r="F158" s="18">
        <f>IFERROR(VLOOKUP(E158,Catalogo!$A$2:$H$60,4,FALSE),"")</f>
        <v/>
      </c>
      <c r="G158" s="20">
        <f>IFERROR(VLOOKUP(E158,Catalogo!$A$2:$H$60,5,FALSE),"")</f>
        <v/>
      </c>
      <c r="H158" s="21" t="n"/>
      <c r="I158" s="20">
        <f>IF(G158="","",G158-H158)</f>
        <v/>
      </c>
      <c r="J158" s="20">
        <f>IF(A158="","",SUMIFS(Pagos!$E:$E,Pagos!$D:$D,A158))</f>
        <v/>
      </c>
      <c r="K158" s="20">
        <f>IF(A158="","",I158-J158)</f>
        <v/>
      </c>
      <c r="L158" s="22">
        <f>IF(B158="","",B158+60)</f>
        <v/>
      </c>
    </row>
    <row r="159">
      <c r="A159" s="18">
        <f>IF(C159="","","V"&amp;TEXT(ROW()-1,"000"))</f>
        <v/>
      </c>
      <c r="B159" s="19" t="n"/>
      <c r="D159" s="18">
        <f>IFERROR(VLOOKUP(C159,Alumnos!$A:$B,2,FALSE),"")</f>
        <v/>
      </c>
      <c r="F159" s="18">
        <f>IFERROR(VLOOKUP(E159,Catalogo!$A$2:$H$60,4,FALSE),"")</f>
        <v/>
      </c>
      <c r="G159" s="20">
        <f>IFERROR(VLOOKUP(E159,Catalogo!$A$2:$H$60,5,FALSE),"")</f>
        <v/>
      </c>
      <c r="H159" s="21" t="n"/>
      <c r="I159" s="20">
        <f>IF(G159="","",G159-H159)</f>
        <v/>
      </c>
      <c r="J159" s="20">
        <f>IF(A159="","",SUMIFS(Pagos!$E:$E,Pagos!$D:$D,A159))</f>
        <v/>
      </c>
      <c r="K159" s="20">
        <f>IF(A159="","",I159-J159)</f>
        <v/>
      </c>
      <c r="L159" s="22">
        <f>IF(B159="","",B159+60)</f>
        <v/>
      </c>
    </row>
    <row r="160">
      <c r="A160" s="18">
        <f>IF(C160="","","V"&amp;TEXT(ROW()-1,"000"))</f>
        <v/>
      </c>
      <c r="B160" s="19" t="n"/>
      <c r="D160" s="18">
        <f>IFERROR(VLOOKUP(C160,Alumnos!$A:$B,2,FALSE),"")</f>
        <v/>
      </c>
      <c r="F160" s="18">
        <f>IFERROR(VLOOKUP(E160,Catalogo!$A$2:$H$60,4,FALSE),"")</f>
        <v/>
      </c>
      <c r="G160" s="20">
        <f>IFERROR(VLOOKUP(E160,Catalogo!$A$2:$H$60,5,FALSE),"")</f>
        <v/>
      </c>
      <c r="H160" s="21" t="n"/>
      <c r="I160" s="20">
        <f>IF(G160="","",G160-H160)</f>
        <v/>
      </c>
      <c r="J160" s="20">
        <f>IF(A160="","",SUMIFS(Pagos!$E:$E,Pagos!$D:$D,A160))</f>
        <v/>
      </c>
      <c r="K160" s="20">
        <f>IF(A160="","",I160-J160)</f>
        <v/>
      </c>
      <c r="L160" s="22">
        <f>IF(B160="","",B160+60)</f>
        <v/>
      </c>
    </row>
    <row r="161">
      <c r="A161" s="18">
        <f>IF(C161="","","V"&amp;TEXT(ROW()-1,"000"))</f>
        <v/>
      </c>
      <c r="B161" s="19" t="n"/>
      <c r="D161" s="18">
        <f>IFERROR(VLOOKUP(C161,Alumnos!$A:$B,2,FALSE),"")</f>
        <v/>
      </c>
      <c r="F161" s="18">
        <f>IFERROR(VLOOKUP(E161,Catalogo!$A$2:$H$60,4,FALSE),"")</f>
        <v/>
      </c>
      <c r="G161" s="20">
        <f>IFERROR(VLOOKUP(E161,Catalogo!$A$2:$H$60,5,FALSE),"")</f>
        <v/>
      </c>
      <c r="H161" s="21" t="n"/>
      <c r="I161" s="20">
        <f>IF(G161="","",G161-H161)</f>
        <v/>
      </c>
      <c r="J161" s="20">
        <f>IF(A161="","",SUMIFS(Pagos!$E:$E,Pagos!$D:$D,A161))</f>
        <v/>
      </c>
      <c r="K161" s="20">
        <f>IF(A161="","",I161-J161)</f>
        <v/>
      </c>
      <c r="L161" s="22">
        <f>IF(B161="","",B161+60)</f>
        <v/>
      </c>
    </row>
    <row r="162">
      <c r="A162" s="18">
        <f>IF(C162="","","V"&amp;TEXT(ROW()-1,"000"))</f>
        <v/>
      </c>
      <c r="B162" s="19" t="n"/>
      <c r="D162" s="18">
        <f>IFERROR(VLOOKUP(C162,Alumnos!$A:$B,2,FALSE),"")</f>
        <v/>
      </c>
      <c r="F162" s="18">
        <f>IFERROR(VLOOKUP(E162,Catalogo!$A$2:$H$60,4,FALSE),"")</f>
        <v/>
      </c>
      <c r="G162" s="20">
        <f>IFERROR(VLOOKUP(E162,Catalogo!$A$2:$H$60,5,FALSE),"")</f>
        <v/>
      </c>
      <c r="H162" s="21" t="n"/>
      <c r="I162" s="20">
        <f>IF(G162="","",G162-H162)</f>
        <v/>
      </c>
      <c r="J162" s="20">
        <f>IF(A162="","",SUMIFS(Pagos!$E:$E,Pagos!$D:$D,A162))</f>
        <v/>
      </c>
      <c r="K162" s="20">
        <f>IF(A162="","",I162-J162)</f>
        <v/>
      </c>
      <c r="L162" s="22">
        <f>IF(B162="","",B162+60)</f>
        <v/>
      </c>
    </row>
    <row r="163">
      <c r="A163" s="18">
        <f>IF(C163="","","V"&amp;TEXT(ROW()-1,"000"))</f>
        <v/>
      </c>
      <c r="B163" s="19" t="n"/>
      <c r="D163" s="18">
        <f>IFERROR(VLOOKUP(C163,Alumnos!$A:$B,2,FALSE),"")</f>
        <v/>
      </c>
      <c r="F163" s="18">
        <f>IFERROR(VLOOKUP(E163,Catalogo!$A$2:$H$60,4,FALSE),"")</f>
        <v/>
      </c>
      <c r="G163" s="20">
        <f>IFERROR(VLOOKUP(E163,Catalogo!$A$2:$H$60,5,FALSE),"")</f>
        <v/>
      </c>
      <c r="H163" s="21" t="n"/>
      <c r="I163" s="20">
        <f>IF(G163="","",G163-H163)</f>
        <v/>
      </c>
      <c r="J163" s="20">
        <f>IF(A163="","",SUMIFS(Pagos!$E:$E,Pagos!$D:$D,A163))</f>
        <v/>
      </c>
      <c r="K163" s="20">
        <f>IF(A163="","",I163-J163)</f>
        <v/>
      </c>
      <c r="L163" s="22">
        <f>IF(B163="","",B163+60)</f>
        <v/>
      </c>
    </row>
    <row r="164">
      <c r="A164" s="18">
        <f>IF(C164="","","V"&amp;TEXT(ROW()-1,"000"))</f>
        <v/>
      </c>
      <c r="B164" s="19" t="n"/>
      <c r="D164" s="18">
        <f>IFERROR(VLOOKUP(C164,Alumnos!$A:$B,2,FALSE),"")</f>
        <v/>
      </c>
      <c r="F164" s="18">
        <f>IFERROR(VLOOKUP(E164,Catalogo!$A$2:$H$60,4,FALSE),"")</f>
        <v/>
      </c>
      <c r="G164" s="20">
        <f>IFERROR(VLOOKUP(E164,Catalogo!$A$2:$H$60,5,FALSE),"")</f>
        <v/>
      </c>
      <c r="H164" s="21" t="n"/>
      <c r="I164" s="20">
        <f>IF(G164="","",G164-H164)</f>
        <v/>
      </c>
      <c r="J164" s="20">
        <f>IF(A164="","",SUMIFS(Pagos!$E:$E,Pagos!$D:$D,A164))</f>
        <v/>
      </c>
      <c r="K164" s="20">
        <f>IF(A164="","",I164-J164)</f>
        <v/>
      </c>
      <c r="L164" s="22">
        <f>IF(B164="","",B164+60)</f>
        <v/>
      </c>
    </row>
    <row r="165">
      <c r="A165" s="18">
        <f>IF(C165="","","V"&amp;TEXT(ROW()-1,"000"))</f>
        <v/>
      </c>
      <c r="B165" s="19" t="n"/>
      <c r="D165" s="18">
        <f>IFERROR(VLOOKUP(C165,Alumnos!$A:$B,2,FALSE),"")</f>
        <v/>
      </c>
      <c r="F165" s="18">
        <f>IFERROR(VLOOKUP(E165,Catalogo!$A$2:$H$60,4,FALSE),"")</f>
        <v/>
      </c>
      <c r="G165" s="20">
        <f>IFERROR(VLOOKUP(E165,Catalogo!$A$2:$H$60,5,FALSE),"")</f>
        <v/>
      </c>
      <c r="H165" s="21" t="n"/>
      <c r="I165" s="20">
        <f>IF(G165="","",G165-H165)</f>
        <v/>
      </c>
      <c r="J165" s="20">
        <f>IF(A165="","",SUMIFS(Pagos!$E:$E,Pagos!$D:$D,A165))</f>
        <v/>
      </c>
      <c r="K165" s="20">
        <f>IF(A165="","",I165-J165)</f>
        <v/>
      </c>
      <c r="L165" s="22">
        <f>IF(B165="","",B165+60)</f>
        <v/>
      </c>
    </row>
    <row r="166">
      <c r="A166" s="18">
        <f>IF(C166="","","V"&amp;TEXT(ROW()-1,"000"))</f>
        <v/>
      </c>
      <c r="B166" s="19" t="n"/>
      <c r="D166" s="18">
        <f>IFERROR(VLOOKUP(C166,Alumnos!$A:$B,2,FALSE),"")</f>
        <v/>
      </c>
      <c r="F166" s="18">
        <f>IFERROR(VLOOKUP(E166,Catalogo!$A$2:$H$60,4,FALSE),"")</f>
        <v/>
      </c>
      <c r="G166" s="20">
        <f>IFERROR(VLOOKUP(E166,Catalogo!$A$2:$H$60,5,FALSE),"")</f>
        <v/>
      </c>
      <c r="H166" s="21" t="n"/>
      <c r="I166" s="20">
        <f>IF(G166="","",G166-H166)</f>
        <v/>
      </c>
      <c r="J166" s="20">
        <f>IF(A166="","",SUMIFS(Pagos!$E:$E,Pagos!$D:$D,A166))</f>
        <v/>
      </c>
      <c r="K166" s="20">
        <f>IF(A166="","",I166-J166)</f>
        <v/>
      </c>
      <c r="L166" s="22">
        <f>IF(B166="","",B166+60)</f>
        <v/>
      </c>
    </row>
    <row r="167">
      <c r="A167" s="18">
        <f>IF(C167="","","V"&amp;TEXT(ROW()-1,"000"))</f>
        <v/>
      </c>
      <c r="B167" s="19" t="n"/>
      <c r="D167" s="18">
        <f>IFERROR(VLOOKUP(C167,Alumnos!$A:$B,2,FALSE),"")</f>
        <v/>
      </c>
      <c r="F167" s="18">
        <f>IFERROR(VLOOKUP(E167,Catalogo!$A$2:$H$60,4,FALSE),"")</f>
        <v/>
      </c>
      <c r="G167" s="20">
        <f>IFERROR(VLOOKUP(E167,Catalogo!$A$2:$H$60,5,FALSE),"")</f>
        <v/>
      </c>
      <c r="H167" s="21" t="n"/>
      <c r="I167" s="20">
        <f>IF(G167="","",G167-H167)</f>
        <v/>
      </c>
      <c r="J167" s="20">
        <f>IF(A167="","",SUMIFS(Pagos!$E:$E,Pagos!$D:$D,A167))</f>
        <v/>
      </c>
      <c r="K167" s="20">
        <f>IF(A167="","",I167-J167)</f>
        <v/>
      </c>
      <c r="L167" s="22">
        <f>IF(B167="","",B167+60)</f>
        <v/>
      </c>
    </row>
    <row r="168">
      <c r="A168" s="18">
        <f>IF(C168="","","V"&amp;TEXT(ROW()-1,"000"))</f>
        <v/>
      </c>
      <c r="B168" s="19" t="n"/>
      <c r="D168" s="18">
        <f>IFERROR(VLOOKUP(C168,Alumnos!$A:$B,2,FALSE),"")</f>
        <v/>
      </c>
      <c r="F168" s="18">
        <f>IFERROR(VLOOKUP(E168,Catalogo!$A$2:$H$60,4,FALSE),"")</f>
        <v/>
      </c>
      <c r="G168" s="20">
        <f>IFERROR(VLOOKUP(E168,Catalogo!$A$2:$H$60,5,FALSE),"")</f>
        <v/>
      </c>
      <c r="H168" s="21" t="n"/>
      <c r="I168" s="20">
        <f>IF(G168="","",G168-H168)</f>
        <v/>
      </c>
      <c r="J168" s="20">
        <f>IF(A168="","",SUMIFS(Pagos!$E:$E,Pagos!$D:$D,A168))</f>
        <v/>
      </c>
      <c r="K168" s="20">
        <f>IF(A168="","",I168-J168)</f>
        <v/>
      </c>
      <c r="L168" s="22">
        <f>IF(B168="","",B168+60)</f>
        <v/>
      </c>
    </row>
    <row r="169">
      <c r="A169" s="18">
        <f>IF(C169="","","V"&amp;TEXT(ROW()-1,"000"))</f>
        <v/>
      </c>
      <c r="B169" s="19" t="n"/>
      <c r="D169" s="18">
        <f>IFERROR(VLOOKUP(C169,Alumnos!$A:$B,2,FALSE),"")</f>
        <v/>
      </c>
      <c r="F169" s="18">
        <f>IFERROR(VLOOKUP(E169,Catalogo!$A$2:$H$60,4,FALSE),"")</f>
        <v/>
      </c>
      <c r="G169" s="20">
        <f>IFERROR(VLOOKUP(E169,Catalogo!$A$2:$H$60,5,FALSE),"")</f>
        <v/>
      </c>
      <c r="H169" s="21" t="n"/>
      <c r="I169" s="20">
        <f>IF(G169="","",G169-H169)</f>
        <v/>
      </c>
      <c r="J169" s="20">
        <f>IF(A169="","",SUMIFS(Pagos!$E:$E,Pagos!$D:$D,A169))</f>
        <v/>
      </c>
      <c r="K169" s="20">
        <f>IF(A169="","",I169-J169)</f>
        <v/>
      </c>
      <c r="L169" s="22">
        <f>IF(B169="","",B169+60)</f>
        <v/>
      </c>
    </row>
    <row r="170">
      <c r="A170" s="18">
        <f>IF(C170="","","V"&amp;TEXT(ROW()-1,"000"))</f>
        <v/>
      </c>
      <c r="B170" s="19" t="n"/>
      <c r="D170" s="18">
        <f>IFERROR(VLOOKUP(C170,Alumnos!$A:$B,2,FALSE),"")</f>
        <v/>
      </c>
      <c r="F170" s="18">
        <f>IFERROR(VLOOKUP(E170,Catalogo!$A$2:$H$60,4,FALSE),"")</f>
        <v/>
      </c>
      <c r="G170" s="20">
        <f>IFERROR(VLOOKUP(E170,Catalogo!$A$2:$H$60,5,FALSE),"")</f>
        <v/>
      </c>
      <c r="H170" s="21" t="n"/>
      <c r="I170" s="20">
        <f>IF(G170="","",G170-H170)</f>
        <v/>
      </c>
      <c r="J170" s="20">
        <f>IF(A170="","",SUMIFS(Pagos!$E:$E,Pagos!$D:$D,A170))</f>
        <v/>
      </c>
      <c r="K170" s="20">
        <f>IF(A170="","",I170-J170)</f>
        <v/>
      </c>
      <c r="L170" s="22">
        <f>IF(B170="","",B170+60)</f>
        <v/>
      </c>
    </row>
    <row r="171">
      <c r="A171" s="18">
        <f>IF(C171="","","V"&amp;TEXT(ROW()-1,"000"))</f>
        <v/>
      </c>
      <c r="B171" s="19" t="n"/>
      <c r="D171" s="18">
        <f>IFERROR(VLOOKUP(C171,Alumnos!$A:$B,2,FALSE),"")</f>
        <v/>
      </c>
      <c r="F171" s="18">
        <f>IFERROR(VLOOKUP(E171,Catalogo!$A$2:$H$60,4,FALSE),"")</f>
        <v/>
      </c>
      <c r="G171" s="20">
        <f>IFERROR(VLOOKUP(E171,Catalogo!$A$2:$H$60,5,FALSE),"")</f>
        <v/>
      </c>
      <c r="H171" s="21" t="n"/>
      <c r="I171" s="20">
        <f>IF(G171="","",G171-H171)</f>
        <v/>
      </c>
      <c r="J171" s="20">
        <f>IF(A171="","",SUMIFS(Pagos!$E:$E,Pagos!$D:$D,A171))</f>
        <v/>
      </c>
      <c r="K171" s="20">
        <f>IF(A171="","",I171-J171)</f>
        <v/>
      </c>
      <c r="L171" s="22">
        <f>IF(B171="","",B171+60)</f>
        <v/>
      </c>
    </row>
    <row r="172">
      <c r="A172" s="18">
        <f>IF(C172="","","V"&amp;TEXT(ROW()-1,"000"))</f>
        <v/>
      </c>
      <c r="B172" s="19" t="n"/>
      <c r="D172" s="18">
        <f>IFERROR(VLOOKUP(C172,Alumnos!$A:$B,2,FALSE),"")</f>
        <v/>
      </c>
      <c r="F172" s="18">
        <f>IFERROR(VLOOKUP(E172,Catalogo!$A$2:$H$60,4,FALSE),"")</f>
        <v/>
      </c>
      <c r="G172" s="20">
        <f>IFERROR(VLOOKUP(E172,Catalogo!$A$2:$H$60,5,FALSE),"")</f>
        <v/>
      </c>
      <c r="H172" s="21" t="n"/>
      <c r="I172" s="20">
        <f>IF(G172="","",G172-H172)</f>
        <v/>
      </c>
      <c r="J172" s="20">
        <f>IF(A172="","",SUMIFS(Pagos!$E:$E,Pagos!$D:$D,A172))</f>
        <v/>
      </c>
      <c r="K172" s="20">
        <f>IF(A172="","",I172-J172)</f>
        <v/>
      </c>
      <c r="L172" s="22">
        <f>IF(B172="","",B172+60)</f>
        <v/>
      </c>
    </row>
    <row r="173">
      <c r="A173" s="18">
        <f>IF(C173="","","V"&amp;TEXT(ROW()-1,"000"))</f>
        <v/>
      </c>
      <c r="B173" s="19" t="n"/>
      <c r="D173" s="18">
        <f>IFERROR(VLOOKUP(C173,Alumnos!$A:$B,2,FALSE),"")</f>
        <v/>
      </c>
      <c r="F173" s="18">
        <f>IFERROR(VLOOKUP(E173,Catalogo!$A$2:$H$60,4,FALSE),"")</f>
        <v/>
      </c>
      <c r="G173" s="20">
        <f>IFERROR(VLOOKUP(E173,Catalogo!$A$2:$H$60,5,FALSE),"")</f>
        <v/>
      </c>
      <c r="H173" s="21" t="n"/>
      <c r="I173" s="20">
        <f>IF(G173="","",G173-H173)</f>
        <v/>
      </c>
      <c r="J173" s="20">
        <f>IF(A173="","",SUMIFS(Pagos!$E:$E,Pagos!$D:$D,A173))</f>
        <v/>
      </c>
      <c r="K173" s="20">
        <f>IF(A173="","",I173-J173)</f>
        <v/>
      </c>
      <c r="L173" s="22">
        <f>IF(B173="","",B173+60)</f>
        <v/>
      </c>
    </row>
    <row r="174">
      <c r="A174" s="18">
        <f>IF(C174="","","V"&amp;TEXT(ROW()-1,"000"))</f>
        <v/>
      </c>
      <c r="B174" s="19" t="n"/>
      <c r="D174" s="18">
        <f>IFERROR(VLOOKUP(C174,Alumnos!$A:$B,2,FALSE),"")</f>
        <v/>
      </c>
      <c r="F174" s="18">
        <f>IFERROR(VLOOKUP(E174,Catalogo!$A$2:$H$60,4,FALSE),"")</f>
        <v/>
      </c>
      <c r="G174" s="20">
        <f>IFERROR(VLOOKUP(E174,Catalogo!$A$2:$H$60,5,FALSE),"")</f>
        <v/>
      </c>
      <c r="H174" s="21" t="n"/>
      <c r="I174" s="20">
        <f>IF(G174="","",G174-H174)</f>
        <v/>
      </c>
      <c r="J174" s="20">
        <f>IF(A174="","",SUMIFS(Pagos!$E:$E,Pagos!$D:$D,A174))</f>
        <v/>
      </c>
      <c r="K174" s="20">
        <f>IF(A174="","",I174-J174)</f>
        <v/>
      </c>
      <c r="L174" s="22">
        <f>IF(B174="","",B174+60)</f>
        <v/>
      </c>
    </row>
    <row r="175">
      <c r="A175" s="18">
        <f>IF(C175="","","V"&amp;TEXT(ROW()-1,"000"))</f>
        <v/>
      </c>
      <c r="B175" s="19" t="n"/>
      <c r="D175" s="18">
        <f>IFERROR(VLOOKUP(C175,Alumnos!$A:$B,2,FALSE),"")</f>
        <v/>
      </c>
      <c r="F175" s="18">
        <f>IFERROR(VLOOKUP(E175,Catalogo!$A$2:$H$60,4,FALSE),"")</f>
        <v/>
      </c>
      <c r="G175" s="20">
        <f>IFERROR(VLOOKUP(E175,Catalogo!$A$2:$H$60,5,FALSE),"")</f>
        <v/>
      </c>
      <c r="H175" s="21" t="n"/>
      <c r="I175" s="20">
        <f>IF(G175="","",G175-H175)</f>
        <v/>
      </c>
      <c r="J175" s="20">
        <f>IF(A175="","",SUMIFS(Pagos!$E:$E,Pagos!$D:$D,A175))</f>
        <v/>
      </c>
      <c r="K175" s="20">
        <f>IF(A175="","",I175-J175)</f>
        <v/>
      </c>
      <c r="L175" s="22">
        <f>IF(B175="","",B175+60)</f>
        <v/>
      </c>
    </row>
    <row r="176">
      <c r="A176" s="18">
        <f>IF(C176="","","V"&amp;TEXT(ROW()-1,"000"))</f>
        <v/>
      </c>
      <c r="B176" s="19" t="n"/>
      <c r="D176" s="18">
        <f>IFERROR(VLOOKUP(C176,Alumnos!$A:$B,2,FALSE),"")</f>
        <v/>
      </c>
      <c r="F176" s="18">
        <f>IFERROR(VLOOKUP(E176,Catalogo!$A$2:$H$60,4,FALSE),"")</f>
        <v/>
      </c>
      <c r="G176" s="20">
        <f>IFERROR(VLOOKUP(E176,Catalogo!$A$2:$H$60,5,FALSE),"")</f>
        <v/>
      </c>
      <c r="H176" s="21" t="n"/>
      <c r="I176" s="20">
        <f>IF(G176="","",G176-H176)</f>
        <v/>
      </c>
      <c r="J176" s="20">
        <f>IF(A176="","",SUMIFS(Pagos!$E:$E,Pagos!$D:$D,A176))</f>
        <v/>
      </c>
      <c r="K176" s="20">
        <f>IF(A176="","",I176-J176)</f>
        <v/>
      </c>
      <c r="L176" s="22">
        <f>IF(B176="","",B176+60)</f>
        <v/>
      </c>
    </row>
    <row r="177">
      <c r="A177" s="18">
        <f>IF(C177="","","V"&amp;TEXT(ROW()-1,"000"))</f>
        <v/>
      </c>
      <c r="B177" s="19" t="n"/>
      <c r="D177" s="18">
        <f>IFERROR(VLOOKUP(C177,Alumnos!$A:$B,2,FALSE),"")</f>
        <v/>
      </c>
      <c r="F177" s="18">
        <f>IFERROR(VLOOKUP(E177,Catalogo!$A$2:$H$60,4,FALSE),"")</f>
        <v/>
      </c>
      <c r="G177" s="20">
        <f>IFERROR(VLOOKUP(E177,Catalogo!$A$2:$H$60,5,FALSE),"")</f>
        <v/>
      </c>
      <c r="H177" s="21" t="n"/>
      <c r="I177" s="20">
        <f>IF(G177="","",G177-H177)</f>
        <v/>
      </c>
      <c r="J177" s="20">
        <f>IF(A177="","",SUMIFS(Pagos!$E:$E,Pagos!$D:$D,A177))</f>
        <v/>
      </c>
      <c r="K177" s="20">
        <f>IF(A177="","",I177-J177)</f>
        <v/>
      </c>
      <c r="L177" s="22">
        <f>IF(B177="","",B177+60)</f>
        <v/>
      </c>
    </row>
    <row r="178">
      <c r="A178" s="18">
        <f>IF(C178="","","V"&amp;TEXT(ROW()-1,"000"))</f>
        <v/>
      </c>
      <c r="B178" s="19" t="n"/>
      <c r="D178" s="18">
        <f>IFERROR(VLOOKUP(C178,Alumnos!$A:$B,2,FALSE),"")</f>
        <v/>
      </c>
      <c r="F178" s="18">
        <f>IFERROR(VLOOKUP(E178,Catalogo!$A$2:$H$60,4,FALSE),"")</f>
        <v/>
      </c>
      <c r="G178" s="20">
        <f>IFERROR(VLOOKUP(E178,Catalogo!$A$2:$H$60,5,FALSE),"")</f>
        <v/>
      </c>
      <c r="H178" s="21" t="n"/>
      <c r="I178" s="20">
        <f>IF(G178="","",G178-H178)</f>
        <v/>
      </c>
      <c r="J178" s="20">
        <f>IF(A178="","",SUMIFS(Pagos!$E:$E,Pagos!$D:$D,A178))</f>
        <v/>
      </c>
      <c r="K178" s="20">
        <f>IF(A178="","",I178-J178)</f>
        <v/>
      </c>
      <c r="L178" s="22">
        <f>IF(B178="","",B178+60)</f>
        <v/>
      </c>
    </row>
    <row r="179">
      <c r="A179" s="18">
        <f>IF(C179="","","V"&amp;TEXT(ROW()-1,"000"))</f>
        <v/>
      </c>
      <c r="B179" s="19" t="n"/>
      <c r="D179" s="18">
        <f>IFERROR(VLOOKUP(C179,Alumnos!$A:$B,2,FALSE),"")</f>
        <v/>
      </c>
      <c r="F179" s="18">
        <f>IFERROR(VLOOKUP(E179,Catalogo!$A$2:$H$60,4,FALSE),"")</f>
        <v/>
      </c>
      <c r="G179" s="20">
        <f>IFERROR(VLOOKUP(E179,Catalogo!$A$2:$H$60,5,FALSE),"")</f>
        <v/>
      </c>
      <c r="H179" s="21" t="n"/>
      <c r="I179" s="20">
        <f>IF(G179="","",G179-H179)</f>
        <v/>
      </c>
      <c r="J179" s="20">
        <f>IF(A179="","",SUMIFS(Pagos!$E:$E,Pagos!$D:$D,A179))</f>
        <v/>
      </c>
      <c r="K179" s="20">
        <f>IF(A179="","",I179-J179)</f>
        <v/>
      </c>
      <c r="L179" s="22">
        <f>IF(B179="","",B179+60)</f>
        <v/>
      </c>
    </row>
    <row r="180">
      <c r="A180" s="18">
        <f>IF(C180="","","V"&amp;TEXT(ROW()-1,"000"))</f>
        <v/>
      </c>
      <c r="B180" s="19" t="n"/>
      <c r="D180" s="18">
        <f>IFERROR(VLOOKUP(C180,Alumnos!$A:$B,2,FALSE),"")</f>
        <v/>
      </c>
      <c r="F180" s="18">
        <f>IFERROR(VLOOKUP(E180,Catalogo!$A$2:$H$60,4,FALSE),"")</f>
        <v/>
      </c>
      <c r="G180" s="20">
        <f>IFERROR(VLOOKUP(E180,Catalogo!$A$2:$H$60,5,FALSE),"")</f>
        <v/>
      </c>
      <c r="H180" s="21" t="n"/>
      <c r="I180" s="20">
        <f>IF(G180="","",G180-H180)</f>
        <v/>
      </c>
      <c r="J180" s="20">
        <f>IF(A180="","",SUMIFS(Pagos!$E:$E,Pagos!$D:$D,A180))</f>
        <v/>
      </c>
      <c r="K180" s="20">
        <f>IF(A180="","",I180-J180)</f>
        <v/>
      </c>
      <c r="L180" s="22">
        <f>IF(B180="","",B180+60)</f>
        <v/>
      </c>
    </row>
    <row r="181">
      <c r="A181" s="18">
        <f>IF(C181="","","V"&amp;TEXT(ROW()-1,"000"))</f>
        <v/>
      </c>
      <c r="B181" s="19" t="n"/>
      <c r="D181" s="18">
        <f>IFERROR(VLOOKUP(C181,Alumnos!$A:$B,2,FALSE),"")</f>
        <v/>
      </c>
      <c r="F181" s="18">
        <f>IFERROR(VLOOKUP(E181,Catalogo!$A$2:$H$60,4,FALSE),"")</f>
        <v/>
      </c>
      <c r="G181" s="20">
        <f>IFERROR(VLOOKUP(E181,Catalogo!$A$2:$H$60,5,FALSE),"")</f>
        <v/>
      </c>
      <c r="H181" s="21" t="n"/>
      <c r="I181" s="20">
        <f>IF(G181="","",G181-H181)</f>
        <v/>
      </c>
      <c r="J181" s="20">
        <f>IF(A181="","",SUMIFS(Pagos!$E:$E,Pagos!$D:$D,A181))</f>
        <v/>
      </c>
      <c r="K181" s="20">
        <f>IF(A181="","",I181-J181)</f>
        <v/>
      </c>
      <c r="L181" s="22">
        <f>IF(B181="","",B181+60)</f>
        <v/>
      </c>
    </row>
    <row r="182">
      <c r="A182" s="18">
        <f>IF(C182="","","V"&amp;TEXT(ROW()-1,"000"))</f>
        <v/>
      </c>
      <c r="B182" s="19" t="n"/>
      <c r="D182" s="18">
        <f>IFERROR(VLOOKUP(C182,Alumnos!$A:$B,2,FALSE),"")</f>
        <v/>
      </c>
      <c r="F182" s="18">
        <f>IFERROR(VLOOKUP(E182,Catalogo!$A$2:$H$60,4,FALSE),"")</f>
        <v/>
      </c>
      <c r="G182" s="20">
        <f>IFERROR(VLOOKUP(E182,Catalogo!$A$2:$H$60,5,FALSE),"")</f>
        <v/>
      </c>
      <c r="H182" s="21" t="n"/>
      <c r="I182" s="20">
        <f>IF(G182="","",G182-H182)</f>
        <v/>
      </c>
      <c r="J182" s="20">
        <f>IF(A182="","",SUMIFS(Pagos!$E:$E,Pagos!$D:$D,A182))</f>
        <v/>
      </c>
      <c r="K182" s="20">
        <f>IF(A182="","",I182-J182)</f>
        <v/>
      </c>
      <c r="L182" s="22">
        <f>IF(B182="","",B182+60)</f>
        <v/>
      </c>
    </row>
    <row r="183">
      <c r="A183" s="18">
        <f>IF(C183="","","V"&amp;TEXT(ROW()-1,"000"))</f>
        <v/>
      </c>
      <c r="B183" s="19" t="n"/>
      <c r="D183" s="18">
        <f>IFERROR(VLOOKUP(C183,Alumnos!$A:$B,2,FALSE),"")</f>
        <v/>
      </c>
      <c r="F183" s="18">
        <f>IFERROR(VLOOKUP(E183,Catalogo!$A$2:$H$60,4,FALSE),"")</f>
        <v/>
      </c>
      <c r="G183" s="20">
        <f>IFERROR(VLOOKUP(E183,Catalogo!$A$2:$H$60,5,FALSE),"")</f>
        <v/>
      </c>
      <c r="H183" s="21" t="n"/>
      <c r="I183" s="20">
        <f>IF(G183="","",G183-H183)</f>
        <v/>
      </c>
      <c r="J183" s="20">
        <f>IF(A183="","",SUMIFS(Pagos!$E:$E,Pagos!$D:$D,A183))</f>
        <v/>
      </c>
      <c r="K183" s="20">
        <f>IF(A183="","",I183-J183)</f>
        <v/>
      </c>
      <c r="L183" s="22">
        <f>IF(B183="","",B183+60)</f>
        <v/>
      </c>
    </row>
    <row r="184">
      <c r="A184" s="18">
        <f>IF(C184="","","V"&amp;TEXT(ROW()-1,"000"))</f>
        <v/>
      </c>
      <c r="B184" s="19" t="n"/>
      <c r="D184" s="18">
        <f>IFERROR(VLOOKUP(C184,Alumnos!$A:$B,2,FALSE),"")</f>
        <v/>
      </c>
      <c r="F184" s="18">
        <f>IFERROR(VLOOKUP(E184,Catalogo!$A$2:$H$60,4,FALSE),"")</f>
        <v/>
      </c>
      <c r="G184" s="20">
        <f>IFERROR(VLOOKUP(E184,Catalogo!$A$2:$H$60,5,FALSE),"")</f>
        <v/>
      </c>
      <c r="H184" s="21" t="n"/>
      <c r="I184" s="20">
        <f>IF(G184="","",G184-H184)</f>
        <v/>
      </c>
      <c r="J184" s="20">
        <f>IF(A184="","",SUMIFS(Pagos!$E:$E,Pagos!$D:$D,A184))</f>
        <v/>
      </c>
      <c r="K184" s="20">
        <f>IF(A184="","",I184-J184)</f>
        <v/>
      </c>
      <c r="L184" s="22">
        <f>IF(B184="","",B184+60)</f>
        <v/>
      </c>
    </row>
    <row r="185">
      <c r="A185" s="18">
        <f>IF(C185="","","V"&amp;TEXT(ROW()-1,"000"))</f>
        <v/>
      </c>
      <c r="B185" s="19" t="n"/>
      <c r="D185" s="18">
        <f>IFERROR(VLOOKUP(C185,Alumnos!$A:$B,2,FALSE),"")</f>
        <v/>
      </c>
      <c r="F185" s="18">
        <f>IFERROR(VLOOKUP(E185,Catalogo!$A$2:$H$60,4,FALSE),"")</f>
        <v/>
      </c>
      <c r="G185" s="20">
        <f>IFERROR(VLOOKUP(E185,Catalogo!$A$2:$H$60,5,FALSE),"")</f>
        <v/>
      </c>
      <c r="H185" s="21" t="n"/>
      <c r="I185" s="20">
        <f>IF(G185="","",G185-H185)</f>
        <v/>
      </c>
      <c r="J185" s="20">
        <f>IF(A185="","",SUMIFS(Pagos!$E:$E,Pagos!$D:$D,A185))</f>
        <v/>
      </c>
      <c r="K185" s="20">
        <f>IF(A185="","",I185-J185)</f>
        <v/>
      </c>
      <c r="L185" s="22">
        <f>IF(B185="","",B185+60)</f>
        <v/>
      </c>
    </row>
    <row r="186">
      <c r="A186" s="18">
        <f>IF(C186="","","V"&amp;TEXT(ROW()-1,"000"))</f>
        <v/>
      </c>
      <c r="B186" s="19" t="n"/>
      <c r="D186" s="18">
        <f>IFERROR(VLOOKUP(C186,Alumnos!$A:$B,2,FALSE),"")</f>
        <v/>
      </c>
      <c r="F186" s="18">
        <f>IFERROR(VLOOKUP(E186,Catalogo!$A$2:$H$60,4,FALSE),"")</f>
        <v/>
      </c>
      <c r="G186" s="20">
        <f>IFERROR(VLOOKUP(E186,Catalogo!$A$2:$H$60,5,FALSE),"")</f>
        <v/>
      </c>
      <c r="H186" s="21" t="n"/>
      <c r="I186" s="20">
        <f>IF(G186="","",G186-H186)</f>
        <v/>
      </c>
      <c r="J186" s="20">
        <f>IF(A186="","",SUMIFS(Pagos!$E:$E,Pagos!$D:$D,A186))</f>
        <v/>
      </c>
      <c r="K186" s="20">
        <f>IF(A186="","",I186-J186)</f>
        <v/>
      </c>
      <c r="L186" s="22">
        <f>IF(B186="","",B186+60)</f>
        <v/>
      </c>
    </row>
    <row r="187">
      <c r="A187" s="18">
        <f>IF(C187="","","V"&amp;TEXT(ROW()-1,"000"))</f>
        <v/>
      </c>
      <c r="B187" s="19" t="n"/>
      <c r="D187" s="18">
        <f>IFERROR(VLOOKUP(C187,Alumnos!$A:$B,2,FALSE),"")</f>
        <v/>
      </c>
      <c r="F187" s="18">
        <f>IFERROR(VLOOKUP(E187,Catalogo!$A$2:$H$60,4,FALSE),"")</f>
        <v/>
      </c>
      <c r="G187" s="20">
        <f>IFERROR(VLOOKUP(E187,Catalogo!$A$2:$H$60,5,FALSE),"")</f>
        <v/>
      </c>
      <c r="H187" s="21" t="n"/>
      <c r="I187" s="20">
        <f>IF(G187="","",G187-H187)</f>
        <v/>
      </c>
      <c r="J187" s="20">
        <f>IF(A187="","",SUMIFS(Pagos!$E:$E,Pagos!$D:$D,A187))</f>
        <v/>
      </c>
      <c r="K187" s="20">
        <f>IF(A187="","",I187-J187)</f>
        <v/>
      </c>
      <c r="L187" s="22">
        <f>IF(B187="","",B187+60)</f>
        <v/>
      </c>
    </row>
    <row r="188">
      <c r="A188" s="18">
        <f>IF(C188="","","V"&amp;TEXT(ROW()-1,"000"))</f>
        <v/>
      </c>
      <c r="B188" s="19" t="n"/>
      <c r="D188" s="18">
        <f>IFERROR(VLOOKUP(C188,Alumnos!$A:$B,2,FALSE),"")</f>
        <v/>
      </c>
      <c r="F188" s="18">
        <f>IFERROR(VLOOKUP(E188,Catalogo!$A$2:$H$60,4,FALSE),"")</f>
        <v/>
      </c>
      <c r="G188" s="20">
        <f>IFERROR(VLOOKUP(E188,Catalogo!$A$2:$H$60,5,FALSE),"")</f>
        <v/>
      </c>
      <c r="H188" s="21" t="n"/>
      <c r="I188" s="20">
        <f>IF(G188="","",G188-H188)</f>
        <v/>
      </c>
      <c r="J188" s="20">
        <f>IF(A188="","",SUMIFS(Pagos!$E:$E,Pagos!$D:$D,A188))</f>
        <v/>
      </c>
      <c r="K188" s="20">
        <f>IF(A188="","",I188-J188)</f>
        <v/>
      </c>
      <c r="L188" s="22">
        <f>IF(B188="","",B188+60)</f>
        <v/>
      </c>
    </row>
    <row r="189">
      <c r="A189" s="18">
        <f>IF(C189="","","V"&amp;TEXT(ROW()-1,"000"))</f>
        <v/>
      </c>
      <c r="B189" s="19" t="n"/>
      <c r="D189" s="18">
        <f>IFERROR(VLOOKUP(C189,Alumnos!$A:$B,2,FALSE),"")</f>
        <v/>
      </c>
      <c r="F189" s="18">
        <f>IFERROR(VLOOKUP(E189,Catalogo!$A$2:$H$60,4,FALSE),"")</f>
        <v/>
      </c>
      <c r="G189" s="20">
        <f>IFERROR(VLOOKUP(E189,Catalogo!$A$2:$H$60,5,FALSE),"")</f>
        <v/>
      </c>
      <c r="H189" s="21" t="n"/>
      <c r="I189" s="20">
        <f>IF(G189="","",G189-H189)</f>
        <v/>
      </c>
      <c r="J189" s="20">
        <f>IF(A189="","",SUMIFS(Pagos!$E:$E,Pagos!$D:$D,A189))</f>
        <v/>
      </c>
      <c r="K189" s="20">
        <f>IF(A189="","",I189-J189)</f>
        <v/>
      </c>
      <c r="L189" s="22">
        <f>IF(B189="","",B189+60)</f>
        <v/>
      </c>
    </row>
    <row r="190">
      <c r="A190" s="18">
        <f>IF(C190="","","V"&amp;TEXT(ROW()-1,"000"))</f>
        <v/>
      </c>
      <c r="B190" s="19" t="n"/>
      <c r="D190" s="18">
        <f>IFERROR(VLOOKUP(C190,Alumnos!$A:$B,2,FALSE),"")</f>
        <v/>
      </c>
      <c r="F190" s="18">
        <f>IFERROR(VLOOKUP(E190,Catalogo!$A$2:$H$60,4,FALSE),"")</f>
        <v/>
      </c>
      <c r="G190" s="20">
        <f>IFERROR(VLOOKUP(E190,Catalogo!$A$2:$H$60,5,FALSE),"")</f>
        <v/>
      </c>
      <c r="H190" s="21" t="n"/>
      <c r="I190" s="20">
        <f>IF(G190="","",G190-H190)</f>
        <v/>
      </c>
      <c r="J190" s="20">
        <f>IF(A190="","",SUMIFS(Pagos!$E:$E,Pagos!$D:$D,A190))</f>
        <v/>
      </c>
      <c r="K190" s="20">
        <f>IF(A190="","",I190-J190)</f>
        <v/>
      </c>
      <c r="L190" s="22">
        <f>IF(B190="","",B190+60)</f>
        <v/>
      </c>
    </row>
    <row r="191">
      <c r="A191" s="18">
        <f>IF(C191="","","V"&amp;TEXT(ROW()-1,"000"))</f>
        <v/>
      </c>
      <c r="B191" s="19" t="n"/>
      <c r="D191" s="18">
        <f>IFERROR(VLOOKUP(C191,Alumnos!$A:$B,2,FALSE),"")</f>
        <v/>
      </c>
      <c r="F191" s="18">
        <f>IFERROR(VLOOKUP(E191,Catalogo!$A$2:$H$60,4,FALSE),"")</f>
        <v/>
      </c>
      <c r="G191" s="20">
        <f>IFERROR(VLOOKUP(E191,Catalogo!$A$2:$H$60,5,FALSE),"")</f>
        <v/>
      </c>
      <c r="H191" s="21" t="n"/>
      <c r="I191" s="20">
        <f>IF(G191="","",G191-H191)</f>
        <v/>
      </c>
      <c r="J191" s="20">
        <f>IF(A191="","",SUMIFS(Pagos!$E:$E,Pagos!$D:$D,A191))</f>
        <v/>
      </c>
      <c r="K191" s="20">
        <f>IF(A191="","",I191-J191)</f>
        <v/>
      </c>
      <c r="L191" s="22">
        <f>IF(B191="","",B191+60)</f>
        <v/>
      </c>
    </row>
    <row r="192">
      <c r="A192" s="18">
        <f>IF(C192="","","V"&amp;TEXT(ROW()-1,"000"))</f>
        <v/>
      </c>
      <c r="B192" s="19" t="n"/>
      <c r="D192" s="18">
        <f>IFERROR(VLOOKUP(C192,Alumnos!$A:$B,2,FALSE),"")</f>
        <v/>
      </c>
      <c r="F192" s="18">
        <f>IFERROR(VLOOKUP(E192,Catalogo!$A$2:$H$60,4,FALSE),"")</f>
        <v/>
      </c>
      <c r="G192" s="20">
        <f>IFERROR(VLOOKUP(E192,Catalogo!$A$2:$H$60,5,FALSE),"")</f>
        <v/>
      </c>
      <c r="H192" s="21" t="n"/>
      <c r="I192" s="20">
        <f>IF(G192="","",G192-H192)</f>
        <v/>
      </c>
      <c r="J192" s="20">
        <f>IF(A192="","",SUMIFS(Pagos!$E:$E,Pagos!$D:$D,A192))</f>
        <v/>
      </c>
      <c r="K192" s="20">
        <f>IF(A192="","",I192-J192)</f>
        <v/>
      </c>
      <c r="L192" s="22">
        <f>IF(B192="","",B192+60)</f>
        <v/>
      </c>
    </row>
    <row r="193">
      <c r="A193" s="18">
        <f>IF(C193="","","V"&amp;TEXT(ROW()-1,"000"))</f>
        <v/>
      </c>
      <c r="B193" s="19" t="n"/>
      <c r="D193" s="18">
        <f>IFERROR(VLOOKUP(C193,Alumnos!$A:$B,2,FALSE),"")</f>
        <v/>
      </c>
      <c r="F193" s="18">
        <f>IFERROR(VLOOKUP(E193,Catalogo!$A$2:$H$60,4,FALSE),"")</f>
        <v/>
      </c>
      <c r="G193" s="20">
        <f>IFERROR(VLOOKUP(E193,Catalogo!$A$2:$H$60,5,FALSE),"")</f>
        <v/>
      </c>
      <c r="H193" s="21" t="n"/>
      <c r="I193" s="20">
        <f>IF(G193="","",G193-H193)</f>
        <v/>
      </c>
      <c r="J193" s="20">
        <f>IF(A193="","",SUMIFS(Pagos!$E:$E,Pagos!$D:$D,A193))</f>
        <v/>
      </c>
      <c r="K193" s="20">
        <f>IF(A193="","",I193-J193)</f>
        <v/>
      </c>
      <c r="L193" s="22">
        <f>IF(B193="","",B193+60)</f>
        <v/>
      </c>
    </row>
    <row r="194">
      <c r="A194" s="18">
        <f>IF(C194="","","V"&amp;TEXT(ROW()-1,"000"))</f>
        <v/>
      </c>
      <c r="B194" s="19" t="n"/>
      <c r="D194" s="18">
        <f>IFERROR(VLOOKUP(C194,Alumnos!$A:$B,2,FALSE),"")</f>
        <v/>
      </c>
      <c r="F194" s="18">
        <f>IFERROR(VLOOKUP(E194,Catalogo!$A$2:$H$60,4,FALSE),"")</f>
        <v/>
      </c>
      <c r="G194" s="20">
        <f>IFERROR(VLOOKUP(E194,Catalogo!$A$2:$H$60,5,FALSE),"")</f>
        <v/>
      </c>
      <c r="H194" s="21" t="n"/>
      <c r="I194" s="20">
        <f>IF(G194="","",G194-H194)</f>
        <v/>
      </c>
      <c r="J194" s="20">
        <f>IF(A194="","",SUMIFS(Pagos!$E:$E,Pagos!$D:$D,A194))</f>
        <v/>
      </c>
      <c r="K194" s="20">
        <f>IF(A194="","",I194-J194)</f>
        <v/>
      </c>
      <c r="L194" s="22">
        <f>IF(B194="","",B194+60)</f>
        <v/>
      </c>
    </row>
    <row r="195">
      <c r="A195" s="18">
        <f>IF(C195="","","V"&amp;TEXT(ROW()-1,"000"))</f>
        <v/>
      </c>
      <c r="B195" s="19" t="n"/>
      <c r="D195" s="18">
        <f>IFERROR(VLOOKUP(C195,Alumnos!$A:$B,2,FALSE),"")</f>
        <v/>
      </c>
      <c r="F195" s="18">
        <f>IFERROR(VLOOKUP(E195,Catalogo!$A$2:$H$60,4,FALSE),"")</f>
        <v/>
      </c>
      <c r="G195" s="20">
        <f>IFERROR(VLOOKUP(E195,Catalogo!$A$2:$H$60,5,FALSE),"")</f>
        <v/>
      </c>
      <c r="H195" s="21" t="n"/>
      <c r="I195" s="20">
        <f>IF(G195="","",G195-H195)</f>
        <v/>
      </c>
      <c r="J195" s="20">
        <f>IF(A195="","",SUMIFS(Pagos!$E:$E,Pagos!$D:$D,A195))</f>
        <v/>
      </c>
      <c r="K195" s="20">
        <f>IF(A195="","",I195-J195)</f>
        <v/>
      </c>
      <c r="L195" s="22">
        <f>IF(B195="","",B195+60)</f>
        <v/>
      </c>
    </row>
    <row r="196">
      <c r="A196" s="18">
        <f>IF(C196="","","V"&amp;TEXT(ROW()-1,"000"))</f>
        <v/>
      </c>
      <c r="B196" s="19" t="n"/>
      <c r="D196" s="18">
        <f>IFERROR(VLOOKUP(C196,Alumnos!$A:$B,2,FALSE),"")</f>
        <v/>
      </c>
      <c r="F196" s="18">
        <f>IFERROR(VLOOKUP(E196,Catalogo!$A$2:$H$60,4,FALSE),"")</f>
        <v/>
      </c>
      <c r="G196" s="20">
        <f>IFERROR(VLOOKUP(E196,Catalogo!$A$2:$H$60,5,FALSE),"")</f>
        <v/>
      </c>
      <c r="H196" s="21" t="n"/>
      <c r="I196" s="20">
        <f>IF(G196="","",G196-H196)</f>
        <v/>
      </c>
      <c r="J196" s="20">
        <f>IF(A196="","",SUMIFS(Pagos!$E:$E,Pagos!$D:$D,A196))</f>
        <v/>
      </c>
      <c r="K196" s="20">
        <f>IF(A196="","",I196-J196)</f>
        <v/>
      </c>
      <c r="L196" s="22">
        <f>IF(B196="","",B196+60)</f>
        <v/>
      </c>
    </row>
    <row r="197">
      <c r="A197" s="18">
        <f>IF(C197="","","V"&amp;TEXT(ROW()-1,"000"))</f>
        <v/>
      </c>
      <c r="B197" s="19" t="n"/>
      <c r="D197" s="18">
        <f>IFERROR(VLOOKUP(C197,Alumnos!$A:$B,2,FALSE),"")</f>
        <v/>
      </c>
      <c r="F197" s="18">
        <f>IFERROR(VLOOKUP(E197,Catalogo!$A$2:$H$60,4,FALSE),"")</f>
        <v/>
      </c>
      <c r="G197" s="20">
        <f>IFERROR(VLOOKUP(E197,Catalogo!$A$2:$H$60,5,FALSE),"")</f>
        <v/>
      </c>
      <c r="H197" s="21" t="n"/>
      <c r="I197" s="20">
        <f>IF(G197="","",G197-H197)</f>
        <v/>
      </c>
      <c r="J197" s="20">
        <f>IF(A197="","",SUMIFS(Pagos!$E:$E,Pagos!$D:$D,A197))</f>
        <v/>
      </c>
      <c r="K197" s="20">
        <f>IF(A197="","",I197-J197)</f>
        <v/>
      </c>
      <c r="L197" s="22">
        <f>IF(B197="","",B197+60)</f>
        <v/>
      </c>
    </row>
    <row r="198">
      <c r="A198" s="18">
        <f>IF(C198="","","V"&amp;TEXT(ROW()-1,"000"))</f>
        <v/>
      </c>
      <c r="B198" s="19" t="n"/>
      <c r="D198" s="18">
        <f>IFERROR(VLOOKUP(C198,Alumnos!$A:$B,2,FALSE),"")</f>
        <v/>
      </c>
      <c r="F198" s="18">
        <f>IFERROR(VLOOKUP(E198,Catalogo!$A$2:$H$60,4,FALSE),"")</f>
        <v/>
      </c>
      <c r="G198" s="20">
        <f>IFERROR(VLOOKUP(E198,Catalogo!$A$2:$H$60,5,FALSE),"")</f>
        <v/>
      </c>
      <c r="H198" s="21" t="n"/>
      <c r="I198" s="20">
        <f>IF(G198="","",G198-H198)</f>
        <v/>
      </c>
      <c r="J198" s="20">
        <f>IF(A198="","",SUMIFS(Pagos!$E:$E,Pagos!$D:$D,A198))</f>
        <v/>
      </c>
      <c r="K198" s="20">
        <f>IF(A198="","",I198-J198)</f>
        <v/>
      </c>
      <c r="L198" s="22">
        <f>IF(B198="","",B198+60)</f>
        <v/>
      </c>
    </row>
    <row r="199">
      <c r="A199" s="18">
        <f>IF(C199="","","V"&amp;TEXT(ROW()-1,"000"))</f>
        <v/>
      </c>
      <c r="B199" s="19" t="n"/>
      <c r="D199" s="18">
        <f>IFERROR(VLOOKUP(C199,Alumnos!$A:$B,2,FALSE),"")</f>
        <v/>
      </c>
      <c r="F199" s="18">
        <f>IFERROR(VLOOKUP(E199,Catalogo!$A$2:$H$60,4,FALSE),"")</f>
        <v/>
      </c>
      <c r="G199" s="20">
        <f>IFERROR(VLOOKUP(E199,Catalogo!$A$2:$H$60,5,FALSE),"")</f>
        <v/>
      </c>
      <c r="H199" s="21" t="n"/>
      <c r="I199" s="20">
        <f>IF(G199="","",G199-H199)</f>
        <v/>
      </c>
      <c r="J199" s="20">
        <f>IF(A199="","",SUMIFS(Pagos!$E:$E,Pagos!$D:$D,A199))</f>
        <v/>
      </c>
      <c r="K199" s="20">
        <f>IF(A199="","",I199-J199)</f>
        <v/>
      </c>
      <c r="L199" s="22">
        <f>IF(B199="","",B199+60)</f>
        <v/>
      </c>
    </row>
    <row r="200">
      <c r="A200" s="18">
        <f>IF(C200="","","V"&amp;TEXT(ROW()-1,"000"))</f>
        <v/>
      </c>
      <c r="B200" s="19" t="n"/>
      <c r="D200" s="18">
        <f>IFERROR(VLOOKUP(C200,Alumnos!$A:$B,2,FALSE),"")</f>
        <v/>
      </c>
      <c r="F200" s="18">
        <f>IFERROR(VLOOKUP(E200,Catalogo!$A$2:$H$60,4,FALSE),"")</f>
        <v/>
      </c>
      <c r="G200" s="20">
        <f>IFERROR(VLOOKUP(E200,Catalogo!$A$2:$H$60,5,FALSE),"")</f>
        <v/>
      </c>
      <c r="H200" s="21" t="n"/>
      <c r="I200" s="20">
        <f>IF(G200="","",G200-H200)</f>
        <v/>
      </c>
      <c r="J200" s="20">
        <f>IF(A200="","",SUMIFS(Pagos!$E:$E,Pagos!$D:$D,A200))</f>
        <v/>
      </c>
      <c r="K200" s="20">
        <f>IF(A200="","",I200-J200)</f>
        <v/>
      </c>
      <c r="L200" s="22">
        <f>IF(B200="","",B200+60)</f>
        <v/>
      </c>
    </row>
    <row r="201">
      <c r="A201" s="18">
        <f>IF(C201="","","V"&amp;TEXT(ROW()-1,"000"))</f>
        <v/>
      </c>
      <c r="B201" s="19" t="n"/>
      <c r="D201" s="18">
        <f>IFERROR(VLOOKUP(C201,Alumnos!$A:$B,2,FALSE),"")</f>
        <v/>
      </c>
      <c r="F201" s="18">
        <f>IFERROR(VLOOKUP(E201,Catalogo!$A$2:$H$60,4,FALSE),"")</f>
        <v/>
      </c>
      <c r="G201" s="20">
        <f>IFERROR(VLOOKUP(E201,Catalogo!$A$2:$H$60,5,FALSE),"")</f>
        <v/>
      </c>
      <c r="H201" s="21" t="n"/>
      <c r="I201" s="20">
        <f>IF(G201="","",G201-H201)</f>
        <v/>
      </c>
      <c r="J201" s="20">
        <f>IF(A201="","",SUMIFS(Pagos!$E:$E,Pagos!$D:$D,A201))</f>
        <v/>
      </c>
      <c r="K201" s="20">
        <f>IF(A201="","",I201-J201)</f>
        <v/>
      </c>
      <c r="L201" s="22">
        <f>IF(B201="","",B201+60)</f>
        <v/>
      </c>
    </row>
    <row r="202">
      <c r="A202" s="18">
        <f>IF(C202="","","V"&amp;TEXT(ROW()-1,"000"))</f>
        <v/>
      </c>
      <c r="B202" s="19" t="n"/>
      <c r="D202" s="18">
        <f>IFERROR(VLOOKUP(C202,Alumnos!$A:$B,2,FALSE),"")</f>
        <v/>
      </c>
      <c r="F202" s="18">
        <f>IFERROR(VLOOKUP(E202,Catalogo!$A$2:$H$60,4,FALSE),"")</f>
        <v/>
      </c>
      <c r="G202" s="20">
        <f>IFERROR(VLOOKUP(E202,Catalogo!$A$2:$H$60,5,FALSE),"")</f>
        <v/>
      </c>
      <c r="H202" s="21" t="n"/>
      <c r="I202" s="20">
        <f>IF(G202="","",G202-H202)</f>
        <v/>
      </c>
      <c r="J202" s="20">
        <f>IF(A202="","",SUMIFS(Pagos!$E:$E,Pagos!$D:$D,A202))</f>
        <v/>
      </c>
      <c r="K202" s="20">
        <f>IF(A202="","",I202-J202)</f>
        <v/>
      </c>
      <c r="L202" s="22">
        <f>IF(B202="","",B202+60)</f>
        <v/>
      </c>
    </row>
    <row r="203">
      <c r="A203" s="18">
        <f>IF(C203="","","V"&amp;TEXT(ROW()-1,"000"))</f>
        <v/>
      </c>
      <c r="B203" s="19" t="n"/>
      <c r="D203" s="18">
        <f>IFERROR(VLOOKUP(C203,Alumnos!$A:$B,2,FALSE),"")</f>
        <v/>
      </c>
      <c r="F203" s="18">
        <f>IFERROR(VLOOKUP(E203,Catalogo!$A$2:$H$60,4,FALSE),"")</f>
        <v/>
      </c>
      <c r="G203" s="20">
        <f>IFERROR(VLOOKUP(E203,Catalogo!$A$2:$H$60,5,FALSE),"")</f>
        <v/>
      </c>
      <c r="H203" s="21" t="n"/>
      <c r="I203" s="20">
        <f>IF(G203="","",G203-H203)</f>
        <v/>
      </c>
      <c r="J203" s="20">
        <f>IF(A203="","",SUMIFS(Pagos!$E:$E,Pagos!$D:$D,A203))</f>
        <v/>
      </c>
      <c r="K203" s="20">
        <f>IF(A203="","",I203-J203)</f>
        <v/>
      </c>
      <c r="L203" s="22">
        <f>IF(B203="","",B203+60)</f>
        <v/>
      </c>
    </row>
    <row r="204">
      <c r="A204" s="18">
        <f>IF(C204="","","V"&amp;TEXT(ROW()-1,"000"))</f>
        <v/>
      </c>
      <c r="B204" s="19" t="n"/>
      <c r="D204" s="18">
        <f>IFERROR(VLOOKUP(C204,Alumnos!$A:$B,2,FALSE),"")</f>
        <v/>
      </c>
      <c r="F204" s="18">
        <f>IFERROR(VLOOKUP(E204,Catalogo!$A$2:$H$60,4,FALSE),"")</f>
        <v/>
      </c>
      <c r="G204" s="20">
        <f>IFERROR(VLOOKUP(E204,Catalogo!$A$2:$H$60,5,FALSE),"")</f>
        <v/>
      </c>
      <c r="H204" s="21" t="n"/>
      <c r="I204" s="20">
        <f>IF(G204="","",G204-H204)</f>
        <v/>
      </c>
      <c r="J204" s="20">
        <f>IF(A204="","",SUMIFS(Pagos!$E:$E,Pagos!$D:$D,A204))</f>
        <v/>
      </c>
      <c r="K204" s="20">
        <f>IF(A204="","",I204-J204)</f>
        <v/>
      </c>
      <c r="L204" s="22">
        <f>IF(B204="","",B204+60)</f>
        <v/>
      </c>
    </row>
    <row r="205">
      <c r="A205" s="18">
        <f>IF(C205="","","V"&amp;TEXT(ROW()-1,"000"))</f>
        <v/>
      </c>
      <c r="B205" s="19" t="n"/>
      <c r="D205" s="18">
        <f>IFERROR(VLOOKUP(C205,Alumnos!$A:$B,2,FALSE),"")</f>
        <v/>
      </c>
      <c r="F205" s="18">
        <f>IFERROR(VLOOKUP(E205,Catalogo!$A$2:$H$60,4,FALSE),"")</f>
        <v/>
      </c>
      <c r="G205" s="20">
        <f>IFERROR(VLOOKUP(E205,Catalogo!$A$2:$H$60,5,FALSE),"")</f>
        <v/>
      </c>
      <c r="H205" s="21" t="n"/>
      <c r="I205" s="20">
        <f>IF(G205="","",G205-H205)</f>
        <v/>
      </c>
      <c r="J205" s="20">
        <f>IF(A205="","",SUMIFS(Pagos!$E:$E,Pagos!$D:$D,A205))</f>
        <v/>
      </c>
      <c r="K205" s="20">
        <f>IF(A205="","",I205-J205)</f>
        <v/>
      </c>
      <c r="L205" s="22">
        <f>IF(B205="","",B205+60)</f>
        <v/>
      </c>
    </row>
    <row r="206">
      <c r="A206" s="18">
        <f>IF(C206="","","V"&amp;TEXT(ROW()-1,"000"))</f>
        <v/>
      </c>
      <c r="B206" s="19" t="n"/>
      <c r="D206" s="18">
        <f>IFERROR(VLOOKUP(C206,Alumnos!$A:$B,2,FALSE),"")</f>
        <v/>
      </c>
      <c r="F206" s="18">
        <f>IFERROR(VLOOKUP(E206,Catalogo!$A$2:$H$60,4,FALSE),"")</f>
        <v/>
      </c>
      <c r="G206" s="20">
        <f>IFERROR(VLOOKUP(E206,Catalogo!$A$2:$H$60,5,FALSE),"")</f>
        <v/>
      </c>
      <c r="H206" s="21" t="n"/>
      <c r="I206" s="20">
        <f>IF(G206="","",G206-H206)</f>
        <v/>
      </c>
      <c r="J206" s="20">
        <f>IF(A206="","",SUMIFS(Pagos!$E:$E,Pagos!$D:$D,A206))</f>
        <v/>
      </c>
      <c r="K206" s="20">
        <f>IF(A206="","",I206-J206)</f>
        <v/>
      </c>
      <c r="L206" s="22">
        <f>IF(B206="","",B206+60)</f>
        <v/>
      </c>
    </row>
    <row r="207">
      <c r="A207" s="18">
        <f>IF(C207="","","V"&amp;TEXT(ROW()-1,"000"))</f>
        <v/>
      </c>
      <c r="B207" s="19" t="n"/>
      <c r="D207" s="18">
        <f>IFERROR(VLOOKUP(C207,Alumnos!$A:$B,2,FALSE),"")</f>
        <v/>
      </c>
      <c r="F207" s="18">
        <f>IFERROR(VLOOKUP(E207,Catalogo!$A$2:$H$60,4,FALSE),"")</f>
        <v/>
      </c>
      <c r="G207" s="20">
        <f>IFERROR(VLOOKUP(E207,Catalogo!$A$2:$H$60,5,FALSE),"")</f>
        <v/>
      </c>
      <c r="H207" s="21" t="n"/>
      <c r="I207" s="20">
        <f>IF(G207="","",G207-H207)</f>
        <v/>
      </c>
      <c r="J207" s="20">
        <f>IF(A207="","",SUMIFS(Pagos!$E:$E,Pagos!$D:$D,A207))</f>
        <v/>
      </c>
      <c r="K207" s="20">
        <f>IF(A207="","",I207-J207)</f>
        <v/>
      </c>
      <c r="L207" s="22">
        <f>IF(B207="","",B207+60)</f>
        <v/>
      </c>
    </row>
    <row r="208">
      <c r="A208" s="18">
        <f>IF(C208="","","V"&amp;TEXT(ROW()-1,"000"))</f>
        <v/>
      </c>
      <c r="B208" s="19" t="n"/>
      <c r="D208" s="18">
        <f>IFERROR(VLOOKUP(C208,Alumnos!$A:$B,2,FALSE),"")</f>
        <v/>
      </c>
      <c r="F208" s="18">
        <f>IFERROR(VLOOKUP(E208,Catalogo!$A$2:$H$60,4,FALSE),"")</f>
        <v/>
      </c>
      <c r="G208" s="20">
        <f>IFERROR(VLOOKUP(E208,Catalogo!$A$2:$H$60,5,FALSE),"")</f>
        <v/>
      </c>
      <c r="H208" s="21" t="n"/>
      <c r="I208" s="20">
        <f>IF(G208="","",G208-H208)</f>
        <v/>
      </c>
      <c r="J208" s="20">
        <f>IF(A208="","",SUMIFS(Pagos!$E:$E,Pagos!$D:$D,A208))</f>
        <v/>
      </c>
      <c r="K208" s="20">
        <f>IF(A208="","",I208-J208)</f>
        <v/>
      </c>
      <c r="L208" s="22">
        <f>IF(B208="","",B208+60)</f>
        <v/>
      </c>
    </row>
    <row r="209">
      <c r="A209" s="18">
        <f>IF(C209="","","V"&amp;TEXT(ROW()-1,"000"))</f>
        <v/>
      </c>
      <c r="B209" s="19" t="n"/>
      <c r="D209" s="18">
        <f>IFERROR(VLOOKUP(C209,Alumnos!$A:$B,2,FALSE),"")</f>
        <v/>
      </c>
      <c r="F209" s="18">
        <f>IFERROR(VLOOKUP(E209,Catalogo!$A$2:$H$60,4,FALSE),"")</f>
        <v/>
      </c>
      <c r="G209" s="20">
        <f>IFERROR(VLOOKUP(E209,Catalogo!$A$2:$H$60,5,FALSE),"")</f>
        <v/>
      </c>
      <c r="H209" s="21" t="n"/>
      <c r="I209" s="20">
        <f>IF(G209="","",G209-H209)</f>
        <v/>
      </c>
      <c r="J209" s="20">
        <f>IF(A209="","",SUMIFS(Pagos!$E:$E,Pagos!$D:$D,A209))</f>
        <v/>
      </c>
      <c r="K209" s="20">
        <f>IF(A209="","",I209-J209)</f>
        <v/>
      </c>
      <c r="L209" s="22">
        <f>IF(B209="","",B209+60)</f>
        <v/>
      </c>
    </row>
    <row r="210">
      <c r="A210" s="18">
        <f>IF(C210="","","V"&amp;TEXT(ROW()-1,"000"))</f>
        <v/>
      </c>
      <c r="B210" s="19" t="n"/>
      <c r="D210" s="18">
        <f>IFERROR(VLOOKUP(C210,Alumnos!$A:$B,2,FALSE),"")</f>
        <v/>
      </c>
      <c r="F210" s="18">
        <f>IFERROR(VLOOKUP(E210,Catalogo!$A$2:$H$60,4,FALSE),"")</f>
        <v/>
      </c>
      <c r="G210" s="20">
        <f>IFERROR(VLOOKUP(E210,Catalogo!$A$2:$H$60,5,FALSE),"")</f>
        <v/>
      </c>
      <c r="H210" s="21" t="n"/>
      <c r="I210" s="20">
        <f>IF(G210="","",G210-H210)</f>
        <v/>
      </c>
      <c r="J210" s="20">
        <f>IF(A210="","",SUMIFS(Pagos!$E:$E,Pagos!$D:$D,A210))</f>
        <v/>
      </c>
      <c r="K210" s="20">
        <f>IF(A210="","",I210-J210)</f>
        <v/>
      </c>
      <c r="L210" s="22">
        <f>IF(B210="","",B210+60)</f>
        <v/>
      </c>
    </row>
    <row r="211">
      <c r="A211" s="18">
        <f>IF(C211="","","V"&amp;TEXT(ROW()-1,"000"))</f>
        <v/>
      </c>
      <c r="B211" s="19" t="n"/>
      <c r="D211" s="18">
        <f>IFERROR(VLOOKUP(C211,Alumnos!$A:$B,2,FALSE),"")</f>
        <v/>
      </c>
      <c r="F211" s="18">
        <f>IFERROR(VLOOKUP(E211,Catalogo!$A$2:$H$60,4,FALSE),"")</f>
        <v/>
      </c>
      <c r="G211" s="20">
        <f>IFERROR(VLOOKUP(E211,Catalogo!$A$2:$H$60,5,FALSE),"")</f>
        <v/>
      </c>
      <c r="H211" s="21" t="n"/>
      <c r="I211" s="20">
        <f>IF(G211="","",G211-H211)</f>
        <v/>
      </c>
      <c r="J211" s="20">
        <f>IF(A211="","",SUMIFS(Pagos!$E:$E,Pagos!$D:$D,A211))</f>
        <v/>
      </c>
      <c r="K211" s="20">
        <f>IF(A211="","",I211-J211)</f>
        <v/>
      </c>
      <c r="L211" s="22">
        <f>IF(B211="","",B211+60)</f>
        <v/>
      </c>
    </row>
    <row r="212">
      <c r="A212" s="18">
        <f>IF(C212="","","V"&amp;TEXT(ROW()-1,"000"))</f>
        <v/>
      </c>
      <c r="B212" s="19" t="n"/>
      <c r="D212" s="18">
        <f>IFERROR(VLOOKUP(C212,Alumnos!$A:$B,2,FALSE),"")</f>
        <v/>
      </c>
      <c r="F212" s="18">
        <f>IFERROR(VLOOKUP(E212,Catalogo!$A$2:$H$60,4,FALSE),"")</f>
        <v/>
      </c>
      <c r="G212" s="20">
        <f>IFERROR(VLOOKUP(E212,Catalogo!$A$2:$H$60,5,FALSE),"")</f>
        <v/>
      </c>
      <c r="H212" s="21" t="n"/>
      <c r="I212" s="20">
        <f>IF(G212="","",G212-H212)</f>
        <v/>
      </c>
      <c r="J212" s="20">
        <f>IF(A212="","",SUMIFS(Pagos!$E:$E,Pagos!$D:$D,A212))</f>
        <v/>
      </c>
      <c r="K212" s="20">
        <f>IF(A212="","",I212-J212)</f>
        <v/>
      </c>
      <c r="L212" s="22">
        <f>IF(B212="","",B212+60)</f>
        <v/>
      </c>
    </row>
    <row r="213">
      <c r="A213" s="18">
        <f>IF(C213="","","V"&amp;TEXT(ROW()-1,"000"))</f>
        <v/>
      </c>
      <c r="B213" s="19" t="n"/>
      <c r="D213" s="18">
        <f>IFERROR(VLOOKUP(C213,Alumnos!$A:$B,2,FALSE),"")</f>
        <v/>
      </c>
      <c r="F213" s="18">
        <f>IFERROR(VLOOKUP(E213,Catalogo!$A$2:$H$60,4,FALSE),"")</f>
        <v/>
      </c>
      <c r="G213" s="20">
        <f>IFERROR(VLOOKUP(E213,Catalogo!$A$2:$H$60,5,FALSE),"")</f>
        <v/>
      </c>
      <c r="H213" s="21" t="n"/>
      <c r="I213" s="20">
        <f>IF(G213="","",G213-H213)</f>
        <v/>
      </c>
      <c r="J213" s="20">
        <f>IF(A213="","",SUMIFS(Pagos!$E:$E,Pagos!$D:$D,A213))</f>
        <v/>
      </c>
      <c r="K213" s="20">
        <f>IF(A213="","",I213-J213)</f>
        <v/>
      </c>
      <c r="L213" s="22">
        <f>IF(B213="","",B213+60)</f>
        <v/>
      </c>
    </row>
    <row r="214">
      <c r="A214" s="18">
        <f>IF(C214="","","V"&amp;TEXT(ROW()-1,"000"))</f>
        <v/>
      </c>
      <c r="B214" s="19" t="n"/>
      <c r="D214" s="18">
        <f>IFERROR(VLOOKUP(C214,Alumnos!$A:$B,2,FALSE),"")</f>
        <v/>
      </c>
      <c r="F214" s="18">
        <f>IFERROR(VLOOKUP(E214,Catalogo!$A$2:$H$60,4,FALSE),"")</f>
        <v/>
      </c>
      <c r="G214" s="20">
        <f>IFERROR(VLOOKUP(E214,Catalogo!$A$2:$H$60,5,FALSE),"")</f>
        <v/>
      </c>
      <c r="H214" s="21" t="n"/>
      <c r="I214" s="20">
        <f>IF(G214="","",G214-H214)</f>
        <v/>
      </c>
      <c r="J214" s="20">
        <f>IF(A214="","",SUMIFS(Pagos!$E:$E,Pagos!$D:$D,A214))</f>
        <v/>
      </c>
      <c r="K214" s="20">
        <f>IF(A214="","",I214-J214)</f>
        <v/>
      </c>
      <c r="L214" s="22">
        <f>IF(B214="","",B214+60)</f>
        <v/>
      </c>
    </row>
    <row r="215">
      <c r="A215" s="18">
        <f>IF(C215="","","V"&amp;TEXT(ROW()-1,"000"))</f>
        <v/>
      </c>
      <c r="B215" s="19" t="n"/>
      <c r="D215" s="18">
        <f>IFERROR(VLOOKUP(C215,Alumnos!$A:$B,2,FALSE),"")</f>
        <v/>
      </c>
      <c r="F215" s="18">
        <f>IFERROR(VLOOKUP(E215,Catalogo!$A$2:$H$60,4,FALSE),"")</f>
        <v/>
      </c>
      <c r="G215" s="20">
        <f>IFERROR(VLOOKUP(E215,Catalogo!$A$2:$H$60,5,FALSE),"")</f>
        <v/>
      </c>
      <c r="H215" s="21" t="n"/>
      <c r="I215" s="20">
        <f>IF(G215="","",G215-H215)</f>
        <v/>
      </c>
      <c r="J215" s="20">
        <f>IF(A215="","",SUMIFS(Pagos!$E:$E,Pagos!$D:$D,A215))</f>
        <v/>
      </c>
      <c r="K215" s="20">
        <f>IF(A215="","",I215-J215)</f>
        <v/>
      </c>
      <c r="L215" s="22">
        <f>IF(B215="","",B215+60)</f>
        <v/>
      </c>
    </row>
    <row r="216">
      <c r="A216" s="18">
        <f>IF(C216="","","V"&amp;TEXT(ROW()-1,"000"))</f>
        <v/>
      </c>
      <c r="B216" s="19" t="n"/>
      <c r="D216" s="18">
        <f>IFERROR(VLOOKUP(C216,Alumnos!$A:$B,2,FALSE),"")</f>
        <v/>
      </c>
      <c r="F216" s="18">
        <f>IFERROR(VLOOKUP(E216,Catalogo!$A$2:$H$60,4,FALSE),"")</f>
        <v/>
      </c>
      <c r="G216" s="20">
        <f>IFERROR(VLOOKUP(E216,Catalogo!$A$2:$H$60,5,FALSE),"")</f>
        <v/>
      </c>
      <c r="H216" s="21" t="n"/>
      <c r="I216" s="20">
        <f>IF(G216="","",G216-H216)</f>
        <v/>
      </c>
      <c r="J216" s="20">
        <f>IF(A216="","",SUMIFS(Pagos!$E:$E,Pagos!$D:$D,A216))</f>
        <v/>
      </c>
      <c r="K216" s="20">
        <f>IF(A216="","",I216-J216)</f>
        <v/>
      </c>
      <c r="L216" s="22">
        <f>IF(B216="","",B216+60)</f>
        <v/>
      </c>
    </row>
    <row r="217">
      <c r="A217" s="18">
        <f>IF(C217="","","V"&amp;TEXT(ROW()-1,"000"))</f>
        <v/>
      </c>
      <c r="B217" s="19" t="n"/>
      <c r="D217" s="18">
        <f>IFERROR(VLOOKUP(C217,Alumnos!$A:$B,2,FALSE),"")</f>
        <v/>
      </c>
      <c r="F217" s="18">
        <f>IFERROR(VLOOKUP(E217,Catalogo!$A$2:$H$60,4,FALSE),"")</f>
        <v/>
      </c>
      <c r="G217" s="20">
        <f>IFERROR(VLOOKUP(E217,Catalogo!$A$2:$H$60,5,FALSE),"")</f>
        <v/>
      </c>
      <c r="H217" s="21" t="n"/>
      <c r="I217" s="20">
        <f>IF(G217="","",G217-H217)</f>
        <v/>
      </c>
      <c r="J217" s="20">
        <f>IF(A217="","",SUMIFS(Pagos!$E:$E,Pagos!$D:$D,A217))</f>
        <v/>
      </c>
      <c r="K217" s="20">
        <f>IF(A217="","",I217-J217)</f>
        <v/>
      </c>
      <c r="L217" s="22">
        <f>IF(B217="","",B217+60)</f>
        <v/>
      </c>
    </row>
    <row r="218">
      <c r="A218" s="18">
        <f>IF(C218="","","V"&amp;TEXT(ROW()-1,"000"))</f>
        <v/>
      </c>
      <c r="B218" s="19" t="n"/>
      <c r="D218" s="18">
        <f>IFERROR(VLOOKUP(C218,Alumnos!$A:$B,2,FALSE),"")</f>
        <v/>
      </c>
      <c r="F218" s="18">
        <f>IFERROR(VLOOKUP(E218,Catalogo!$A$2:$H$60,4,FALSE),"")</f>
        <v/>
      </c>
      <c r="G218" s="20">
        <f>IFERROR(VLOOKUP(E218,Catalogo!$A$2:$H$60,5,FALSE),"")</f>
        <v/>
      </c>
      <c r="H218" s="21" t="n"/>
      <c r="I218" s="20">
        <f>IF(G218="","",G218-H218)</f>
        <v/>
      </c>
      <c r="J218" s="20">
        <f>IF(A218="","",SUMIFS(Pagos!$E:$E,Pagos!$D:$D,A218))</f>
        <v/>
      </c>
      <c r="K218" s="20">
        <f>IF(A218="","",I218-J218)</f>
        <v/>
      </c>
      <c r="L218" s="22">
        <f>IF(B218="","",B218+60)</f>
        <v/>
      </c>
    </row>
    <row r="219">
      <c r="A219" s="18">
        <f>IF(C219="","","V"&amp;TEXT(ROW()-1,"000"))</f>
        <v/>
      </c>
      <c r="B219" s="19" t="n"/>
      <c r="D219" s="18">
        <f>IFERROR(VLOOKUP(C219,Alumnos!$A:$B,2,FALSE),"")</f>
        <v/>
      </c>
      <c r="F219" s="18">
        <f>IFERROR(VLOOKUP(E219,Catalogo!$A$2:$H$60,4,FALSE),"")</f>
        <v/>
      </c>
      <c r="G219" s="20">
        <f>IFERROR(VLOOKUP(E219,Catalogo!$A$2:$H$60,5,FALSE),"")</f>
        <v/>
      </c>
      <c r="H219" s="21" t="n"/>
      <c r="I219" s="20">
        <f>IF(G219="","",G219-H219)</f>
        <v/>
      </c>
      <c r="J219" s="20">
        <f>IF(A219="","",SUMIFS(Pagos!$E:$E,Pagos!$D:$D,A219))</f>
        <v/>
      </c>
      <c r="K219" s="20">
        <f>IF(A219="","",I219-J219)</f>
        <v/>
      </c>
      <c r="L219" s="22">
        <f>IF(B219="","",B219+60)</f>
        <v/>
      </c>
    </row>
    <row r="220">
      <c r="A220" s="18">
        <f>IF(C220="","","V"&amp;TEXT(ROW()-1,"000"))</f>
        <v/>
      </c>
      <c r="B220" s="19" t="n"/>
      <c r="D220" s="18">
        <f>IFERROR(VLOOKUP(C220,Alumnos!$A:$B,2,FALSE),"")</f>
        <v/>
      </c>
      <c r="F220" s="18">
        <f>IFERROR(VLOOKUP(E220,Catalogo!$A$2:$H$60,4,FALSE),"")</f>
        <v/>
      </c>
      <c r="G220" s="20">
        <f>IFERROR(VLOOKUP(E220,Catalogo!$A$2:$H$60,5,FALSE),"")</f>
        <v/>
      </c>
      <c r="H220" s="21" t="n"/>
      <c r="I220" s="20">
        <f>IF(G220="","",G220-H220)</f>
        <v/>
      </c>
      <c r="J220" s="20">
        <f>IF(A220="","",SUMIFS(Pagos!$E:$E,Pagos!$D:$D,A220))</f>
        <v/>
      </c>
      <c r="K220" s="20">
        <f>IF(A220="","",I220-J220)</f>
        <v/>
      </c>
      <c r="L220" s="22">
        <f>IF(B220="","",B220+60)</f>
        <v/>
      </c>
    </row>
    <row r="221">
      <c r="A221" s="18">
        <f>IF(C221="","","V"&amp;TEXT(ROW()-1,"000"))</f>
        <v/>
      </c>
      <c r="B221" s="19" t="n"/>
      <c r="D221" s="18">
        <f>IFERROR(VLOOKUP(C221,Alumnos!$A:$B,2,FALSE),"")</f>
        <v/>
      </c>
      <c r="F221" s="18">
        <f>IFERROR(VLOOKUP(E221,Catalogo!$A$2:$H$60,4,FALSE),"")</f>
        <v/>
      </c>
      <c r="G221" s="20">
        <f>IFERROR(VLOOKUP(E221,Catalogo!$A$2:$H$60,5,FALSE),"")</f>
        <v/>
      </c>
      <c r="H221" s="21" t="n"/>
      <c r="I221" s="20">
        <f>IF(G221="","",G221-H221)</f>
        <v/>
      </c>
      <c r="J221" s="20">
        <f>IF(A221="","",SUMIFS(Pagos!$E:$E,Pagos!$D:$D,A221))</f>
        <v/>
      </c>
      <c r="K221" s="20">
        <f>IF(A221="","",I221-J221)</f>
        <v/>
      </c>
      <c r="L221" s="22">
        <f>IF(B221="","",B221+60)</f>
        <v/>
      </c>
    </row>
    <row r="222">
      <c r="A222" s="18">
        <f>IF(C222="","","V"&amp;TEXT(ROW()-1,"000"))</f>
        <v/>
      </c>
      <c r="B222" s="19" t="n"/>
      <c r="D222" s="18">
        <f>IFERROR(VLOOKUP(C222,Alumnos!$A:$B,2,FALSE),"")</f>
        <v/>
      </c>
      <c r="F222" s="18">
        <f>IFERROR(VLOOKUP(E222,Catalogo!$A$2:$H$60,4,FALSE),"")</f>
        <v/>
      </c>
      <c r="G222" s="20">
        <f>IFERROR(VLOOKUP(E222,Catalogo!$A$2:$H$60,5,FALSE),"")</f>
        <v/>
      </c>
      <c r="H222" s="21" t="n"/>
      <c r="I222" s="20">
        <f>IF(G222="","",G222-H222)</f>
        <v/>
      </c>
      <c r="J222" s="20">
        <f>IF(A222="","",SUMIFS(Pagos!$E:$E,Pagos!$D:$D,A222))</f>
        <v/>
      </c>
      <c r="K222" s="20">
        <f>IF(A222="","",I222-J222)</f>
        <v/>
      </c>
      <c r="L222" s="22">
        <f>IF(B222="","",B222+60)</f>
        <v/>
      </c>
    </row>
    <row r="223">
      <c r="A223" s="18">
        <f>IF(C223="","","V"&amp;TEXT(ROW()-1,"000"))</f>
        <v/>
      </c>
      <c r="B223" s="19" t="n"/>
      <c r="D223" s="18">
        <f>IFERROR(VLOOKUP(C223,Alumnos!$A:$B,2,FALSE),"")</f>
        <v/>
      </c>
      <c r="F223" s="18">
        <f>IFERROR(VLOOKUP(E223,Catalogo!$A$2:$H$60,4,FALSE),"")</f>
        <v/>
      </c>
      <c r="G223" s="20">
        <f>IFERROR(VLOOKUP(E223,Catalogo!$A$2:$H$60,5,FALSE),"")</f>
        <v/>
      </c>
      <c r="H223" s="21" t="n"/>
      <c r="I223" s="20">
        <f>IF(G223="","",G223-H223)</f>
        <v/>
      </c>
      <c r="J223" s="20">
        <f>IF(A223="","",SUMIFS(Pagos!$E:$E,Pagos!$D:$D,A223))</f>
        <v/>
      </c>
      <c r="K223" s="20">
        <f>IF(A223="","",I223-J223)</f>
        <v/>
      </c>
      <c r="L223" s="22">
        <f>IF(B223="","",B223+60)</f>
        <v/>
      </c>
    </row>
    <row r="224">
      <c r="A224" s="18">
        <f>IF(C224="","","V"&amp;TEXT(ROW()-1,"000"))</f>
        <v/>
      </c>
      <c r="B224" s="19" t="n"/>
      <c r="D224" s="18">
        <f>IFERROR(VLOOKUP(C224,Alumnos!$A:$B,2,FALSE),"")</f>
        <v/>
      </c>
      <c r="F224" s="18">
        <f>IFERROR(VLOOKUP(E224,Catalogo!$A$2:$H$60,4,FALSE),"")</f>
        <v/>
      </c>
      <c r="G224" s="20">
        <f>IFERROR(VLOOKUP(E224,Catalogo!$A$2:$H$60,5,FALSE),"")</f>
        <v/>
      </c>
      <c r="H224" s="21" t="n"/>
      <c r="I224" s="20">
        <f>IF(G224="","",G224-H224)</f>
        <v/>
      </c>
      <c r="J224" s="20">
        <f>IF(A224="","",SUMIFS(Pagos!$E:$E,Pagos!$D:$D,A224))</f>
        <v/>
      </c>
      <c r="K224" s="20">
        <f>IF(A224="","",I224-J224)</f>
        <v/>
      </c>
      <c r="L224" s="22">
        <f>IF(B224="","",B224+60)</f>
        <v/>
      </c>
    </row>
    <row r="225">
      <c r="A225" s="18">
        <f>IF(C225="","","V"&amp;TEXT(ROW()-1,"000"))</f>
        <v/>
      </c>
      <c r="B225" s="19" t="n"/>
      <c r="D225" s="18">
        <f>IFERROR(VLOOKUP(C225,Alumnos!$A:$B,2,FALSE),"")</f>
        <v/>
      </c>
      <c r="F225" s="18">
        <f>IFERROR(VLOOKUP(E225,Catalogo!$A$2:$H$60,4,FALSE),"")</f>
        <v/>
      </c>
      <c r="G225" s="20">
        <f>IFERROR(VLOOKUP(E225,Catalogo!$A$2:$H$60,5,FALSE),"")</f>
        <v/>
      </c>
      <c r="H225" s="21" t="n"/>
      <c r="I225" s="20">
        <f>IF(G225="","",G225-H225)</f>
        <v/>
      </c>
      <c r="J225" s="20">
        <f>IF(A225="","",SUMIFS(Pagos!$E:$E,Pagos!$D:$D,A225))</f>
        <v/>
      </c>
      <c r="K225" s="20">
        <f>IF(A225="","",I225-J225)</f>
        <v/>
      </c>
      <c r="L225" s="22">
        <f>IF(B225="","",B225+60)</f>
        <v/>
      </c>
    </row>
    <row r="226">
      <c r="A226" s="18">
        <f>IF(C226="","","V"&amp;TEXT(ROW()-1,"000"))</f>
        <v/>
      </c>
      <c r="B226" s="19" t="n"/>
      <c r="D226" s="18">
        <f>IFERROR(VLOOKUP(C226,Alumnos!$A:$B,2,FALSE),"")</f>
        <v/>
      </c>
      <c r="F226" s="18">
        <f>IFERROR(VLOOKUP(E226,Catalogo!$A$2:$H$60,4,FALSE),"")</f>
        <v/>
      </c>
      <c r="G226" s="20">
        <f>IFERROR(VLOOKUP(E226,Catalogo!$A$2:$H$60,5,FALSE),"")</f>
        <v/>
      </c>
      <c r="H226" s="21" t="n"/>
      <c r="I226" s="20">
        <f>IF(G226="","",G226-H226)</f>
        <v/>
      </c>
      <c r="J226" s="20">
        <f>IF(A226="","",SUMIFS(Pagos!$E:$E,Pagos!$D:$D,A226))</f>
        <v/>
      </c>
      <c r="K226" s="20">
        <f>IF(A226="","",I226-J226)</f>
        <v/>
      </c>
      <c r="L226" s="22">
        <f>IF(B226="","",B226+60)</f>
        <v/>
      </c>
    </row>
    <row r="227">
      <c r="A227" s="18">
        <f>IF(C227="","","V"&amp;TEXT(ROW()-1,"000"))</f>
        <v/>
      </c>
      <c r="B227" s="19" t="n"/>
      <c r="D227" s="18">
        <f>IFERROR(VLOOKUP(C227,Alumnos!$A:$B,2,FALSE),"")</f>
        <v/>
      </c>
      <c r="F227" s="18">
        <f>IFERROR(VLOOKUP(E227,Catalogo!$A$2:$H$60,4,FALSE),"")</f>
        <v/>
      </c>
      <c r="G227" s="20">
        <f>IFERROR(VLOOKUP(E227,Catalogo!$A$2:$H$60,5,FALSE),"")</f>
        <v/>
      </c>
      <c r="H227" s="21" t="n"/>
      <c r="I227" s="20">
        <f>IF(G227="","",G227-H227)</f>
        <v/>
      </c>
      <c r="J227" s="20">
        <f>IF(A227="","",SUMIFS(Pagos!$E:$E,Pagos!$D:$D,A227))</f>
        <v/>
      </c>
      <c r="K227" s="20">
        <f>IF(A227="","",I227-J227)</f>
        <v/>
      </c>
      <c r="L227" s="22">
        <f>IF(B227="","",B227+60)</f>
        <v/>
      </c>
    </row>
    <row r="228">
      <c r="A228" s="18">
        <f>IF(C228="","","V"&amp;TEXT(ROW()-1,"000"))</f>
        <v/>
      </c>
      <c r="B228" s="19" t="n"/>
      <c r="D228" s="18">
        <f>IFERROR(VLOOKUP(C228,Alumnos!$A:$B,2,FALSE),"")</f>
        <v/>
      </c>
      <c r="F228" s="18">
        <f>IFERROR(VLOOKUP(E228,Catalogo!$A$2:$H$60,4,FALSE),"")</f>
        <v/>
      </c>
      <c r="G228" s="20">
        <f>IFERROR(VLOOKUP(E228,Catalogo!$A$2:$H$60,5,FALSE),"")</f>
        <v/>
      </c>
      <c r="H228" s="21" t="n"/>
      <c r="I228" s="20">
        <f>IF(G228="","",G228-H228)</f>
        <v/>
      </c>
      <c r="J228" s="20">
        <f>IF(A228="","",SUMIFS(Pagos!$E:$E,Pagos!$D:$D,A228))</f>
        <v/>
      </c>
      <c r="K228" s="20">
        <f>IF(A228="","",I228-J228)</f>
        <v/>
      </c>
      <c r="L228" s="22">
        <f>IF(B228="","",B228+60)</f>
        <v/>
      </c>
    </row>
    <row r="229">
      <c r="A229" s="18">
        <f>IF(C229="","","V"&amp;TEXT(ROW()-1,"000"))</f>
        <v/>
      </c>
      <c r="B229" s="19" t="n"/>
      <c r="D229" s="18">
        <f>IFERROR(VLOOKUP(C229,Alumnos!$A:$B,2,FALSE),"")</f>
        <v/>
      </c>
      <c r="F229" s="18">
        <f>IFERROR(VLOOKUP(E229,Catalogo!$A$2:$H$60,4,FALSE),"")</f>
        <v/>
      </c>
      <c r="G229" s="20">
        <f>IFERROR(VLOOKUP(E229,Catalogo!$A$2:$H$60,5,FALSE),"")</f>
        <v/>
      </c>
      <c r="H229" s="21" t="n"/>
      <c r="I229" s="20">
        <f>IF(G229="","",G229-H229)</f>
        <v/>
      </c>
      <c r="J229" s="20">
        <f>IF(A229="","",SUMIFS(Pagos!$E:$E,Pagos!$D:$D,A229))</f>
        <v/>
      </c>
      <c r="K229" s="20">
        <f>IF(A229="","",I229-J229)</f>
        <v/>
      </c>
      <c r="L229" s="22">
        <f>IF(B229="","",B229+60)</f>
        <v/>
      </c>
    </row>
    <row r="230">
      <c r="A230" s="18">
        <f>IF(C230="","","V"&amp;TEXT(ROW()-1,"000"))</f>
        <v/>
      </c>
      <c r="B230" s="19" t="n"/>
      <c r="D230" s="18">
        <f>IFERROR(VLOOKUP(C230,Alumnos!$A:$B,2,FALSE),"")</f>
        <v/>
      </c>
      <c r="F230" s="18">
        <f>IFERROR(VLOOKUP(E230,Catalogo!$A$2:$H$60,4,FALSE),"")</f>
        <v/>
      </c>
      <c r="G230" s="20">
        <f>IFERROR(VLOOKUP(E230,Catalogo!$A$2:$H$60,5,FALSE),"")</f>
        <v/>
      </c>
      <c r="H230" s="21" t="n"/>
      <c r="I230" s="20">
        <f>IF(G230="","",G230-H230)</f>
        <v/>
      </c>
      <c r="J230" s="20">
        <f>IF(A230="","",SUMIFS(Pagos!$E:$E,Pagos!$D:$D,A230))</f>
        <v/>
      </c>
      <c r="K230" s="20">
        <f>IF(A230="","",I230-J230)</f>
        <v/>
      </c>
      <c r="L230" s="22">
        <f>IF(B230="","",B230+60)</f>
        <v/>
      </c>
    </row>
    <row r="231">
      <c r="A231" s="18">
        <f>IF(C231="","","V"&amp;TEXT(ROW()-1,"000"))</f>
        <v/>
      </c>
      <c r="B231" s="19" t="n"/>
      <c r="D231" s="18">
        <f>IFERROR(VLOOKUP(C231,Alumnos!$A:$B,2,FALSE),"")</f>
        <v/>
      </c>
      <c r="F231" s="18">
        <f>IFERROR(VLOOKUP(E231,Catalogo!$A$2:$H$60,4,FALSE),"")</f>
        <v/>
      </c>
      <c r="G231" s="20">
        <f>IFERROR(VLOOKUP(E231,Catalogo!$A$2:$H$60,5,FALSE),"")</f>
        <v/>
      </c>
      <c r="H231" s="21" t="n"/>
      <c r="I231" s="20">
        <f>IF(G231="","",G231-H231)</f>
        <v/>
      </c>
      <c r="J231" s="20">
        <f>IF(A231="","",SUMIFS(Pagos!$E:$E,Pagos!$D:$D,A231))</f>
        <v/>
      </c>
      <c r="K231" s="20">
        <f>IF(A231="","",I231-J231)</f>
        <v/>
      </c>
      <c r="L231" s="22">
        <f>IF(B231="","",B231+60)</f>
        <v/>
      </c>
    </row>
    <row r="232">
      <c r="A232" s="18">
        <f>IF(C232="","","V"&amp;TEXT(ROW()-1,"000"))</f>
        <v/>
      </c>
      <c r="B232" s="19" t="n"/>
      <c r="D232" s="18">
        <f>IFERROR(VLOOKUP(C232,Alumnos!$A:$B,2,FALSE),"")</f>
        <v/>
      </c>
      <c r="F232" s="18">
        <f>IFERROR(VLOOKUP(E232,Catalogo!$A$2:$H$60,4,FALSE),"")</f>
        <v/>
      </c>
      <c r="G232" s="20">
        <f>IFERROR(VLOOKUP(E232,Catalogo!$A$2:$H$60,5,FALSE),"")</f>
        <v/>
      </c>
      <c r="H232" s="21" t="n"/>
      <c r="I232" s="20">
        <f>IF(G232="","",G232-H232)</f>
        <v/>
      </c>
      <c r="J232" s="20">
        <f>IF(A232="","",SUMIFS(Pagos!$E:$E,Pagos!$D:$D,A232))</f>
        <v/>
      </c>
      <c r="K232" s="20">
        <f>IF(A232="","",I232-J232)</f>
        <v/>
      </c>
      <c r="L232" s="22">
        <f>IF(B232="","",B232+60)</f>
        <v/>
      </c>
    </row>
    <row r="233">
      <c r="A233" s="18">
        <f>IF(C233="","","V"&amp;TEXT(ROW()-1,"000"))</f>
        <v/>
      </c>
      <c r="B233" s="19" t="n"/>
      <c r="D233" s="18">
        <f>IFERROR(VLOOKUP(C233,Alumnos!$A:$B,2,FALSE),"")</f>
        <v/>
      </c>
      <c r="F233" s="18">
        <f>IFERROR(VLOOKUP(E233,Catalogo!$A$2:$H$60,4,FALSE),"")</f>
        <v/>
      </c>
      <c r="G233" s="20">
        <f>IFERROR(VLOOKUP(E233,Catalogo!$A$2:$H$60,5,FALSE),"")</f>
        <v/>
      </c>
      <c r="H233" s="21" t="n"/>
      <c r="I233" s="20">
        <f>IF(G233="","",G233-H233)</f>
        <v/>
      </c>
      <c r="J233" s="20">
        <f>IF(A233="","",SUMIFS(Pagos!$E:$E,Pagos!$D:$D,A233))</f>
        <v/>
      </c>
      <c r="K233" s="20">
        <f>IF(A233="","",I233-J233)</f>
        <v/>
      </c>
      <c r="L233" s="22">
        <f>IF(B233="","",B233+60)</f>
        <v/>
      </c>
    </row>
    <row r="234">
      <c r="A234" s="18">
        <f>IF(C234="","","V"&amp;TEXT(ROW()-1,"000"))</f>
        <v/>
      </c>
      <c r="B234" s="19" t="n"/>
      <c r="D234" s="18">
        <f>IFERROR(VLOOKUP(C234,Alumnos!$A:$B,2,FALSE),"")</f>
        <v/>
      </c>
      <c r="F234" s="18">
        <f>IFERROR(VLOOKUP(E234,Catalogo!$A$2:$H$60,4,FALSE),"")</f>
        <v/>
      </c>
      <c r="G234" s="20">
        <f>IFERROR(VLOOKUP(E234,Catalogo!$A$2:$H$60,5,FALSE),"")</f>
        <v/>
      </c>
      <c r="H234" s="21" t="n"/>
      <c r="I234" s="20">
        <f>IF(G234="","",G234-H234)</f>
        <v/>
      </c>
      <c r="J234" s="20">
        <f>IF(A234="","",SUMIFS(Pagos!$E:$E,Pagos!$D:$D,A234))</f>
        <v/>
      </c>
      <c r="K234" s="20">
        <f>IF(A234="","",I234-J234)</f>
        <v/>
      </c>
      <c r="L234" s="22">
        <f>IF(B234="","",B234+60)</f>
        <v/>
      </c>
    </row>
    <row r="235">
      <c r="A235" s="18">
        <f>IF(C235="","","V"&amp;TEXT(ROW()-1,"000"))</f>
        <v/>
      </c>
      <c r="B235" s="19" t="n"/>
      <c r="D235" s="18">
        <f>IFERROR(VLOOKUP(C235,Alumnos!$A:$B,2,FALSE),"")</f>
        <v/>
      </c>
      <c r="F235" s="18">
        <f>IFERROR(VLOOKUP(E235,Catalogo!$A$2:$H$60,4,FALSE),"")</f>
        <v/>
      </c>
      <c r="G235" s="20">
        <f>IFERROR(VLOOKUP(E235,Catalogo!$A$2:$H$60,5,FALSE),"")</f>
        <v/>
      </c>
      <c r="H235" s="21" t="n"/>
      <c r="I235" s="20">
        <f>IF(G235="","",G235-H235)</f>
        <v/>
      </c>
      <c r="J235" s="20">
        <f>IF(A235="","",SUMIFS(Pagos!$E:$E,Pagos!$D:$D,A235))</f>
        <v/>
      </c>
      <c r="K235" s="20">
        <f>IF(A235="","",I235-J235)</f>
        <v/>
      </c>
      <c r="L235" s="22">
        <f>IF(B235="","",B235+60)</f>
        <v/>
      </c>
    </row>
    <row r="236">
      <c r="A236" s="18">
        <f>IF(C236="","","V"&amp;TEXT(ROW()-1,"000"))</f>
        <v/>
      </c>
      <c r="B236" s="19" t="n"/>
      <c r="D236" s="18">
        <f>IFERROR(VLOOKUP(C236,Alumnos!$A:$B,2,FALSE),"")</f>
        <v/>
      </c>
      <c r="F236" s="18">
        <f>IFERROR(VLOOKUP(E236,Catalogo!$A$2:$H$60,4,FALSE),"")</f>
        <v/>
      </c>
      <c r="G236" s="20">
        <f>IFERROR(VLOOKUP(E236,Catalogo!$A$2:$H$60,5,FALSE),"")</f>
        <v/>
      </c>
      <c r="H236" s="21" t="n"/>
      <c r="I236" s="20">
        <f>IF(G236="","",G236-H236)</f>
        <v/>
      </c>
      <c r="J236" s="20">
        <f>IF(A236="","",SUMIFS(Pagos!$E:$E,Pagos!$D:$D,A236))</f>
        <v/>
      </c>
      <c r="K236" s="20">
        <f>IF(A236="","",I236-J236)</f>
        <v/>
      </c>
      <c r="L236" s="22">
        <f>IF(B236="","",B236+60)</f>
        <v/>
      </c>
    </row>
    <row r="237">
      <c r="A237" s="18">
        <f>IF(C237="","","V"&amp;TEXT(ROW()-1,"000"))</f>
        <v/>
      </c>
      <c r="B237" s="19" t="n"/>
      <c r="D237" s="18">
        <f>IFERROR(VLOOKUP(C237,Alumnos!$A:$B,2,FALSE),"")</f>
        <v/>
      </c>
      <c r="F237" s="18">
        <f>IFERROR(VLOOKUP(E237,Catalogo!$A$2:$H$60,4,FALSE),"")</f>
        <v/>
      </c>
      <c r="G237" s="20">
        <f>IFERROR(VLOOKUP(E237,Catalogo!$A$2:$H$60,5,FALSE),"")</f>
        <v/>
      </c>
      <c r="H237" s="21" t="n"/>
      <c r="I237" s="20">
        <f>IF(G237="","",G237-H237)</f>
        <v/>
      </c>
      <c r="J237" s="20">
        <f>IF(A237="","",SUMIFS(Pagos!$E:$E,Pagos!$D:$D,A237))</f>
        <v/>
      </c>
      <c r="K237" s="20">
        <f>IF(A237="","",I237-J237)</f>
        <v/>
      </c>
      <c r="L237" s="22">
        <f>IF(B237="","",B237+60)</f>
        <v/>
      </c>
    </row>
    <row r="238">
      <c r="A238" s="18">
        <f>IF(C238="","","V"&amp;TEXT(ROW()-1,"000"))</f>
        <v/>
      </c>
      <c r="B238" s="19" t="n"/>
      <c r="D238" s="18">
        <f>IFERROR(VLOOKUP(C238,Alumnos!$A:$B,2,FALSE),"")</f>
        <v/>
      </c>
      <c r="F238" s="18">
        <f>IFERROR(VLOOKUP(E238,Catalogo!$A$2:$H$60,4,FALSE),"")</f>
        <v/>
      </c>
      <c r="G238" s="20">
        <f>IFERROR(VLOOKUP(E238,Catalogo!$A$2:$H$60,5,FALSE),"")</f>
        <v/>
      </c>
      <c r="H238" s="21" t="n"/>
      <c r="I238" s="20">
        <f>IF(G238="","",G238-H238)</f>
        <v/>
      </c>
      <c r="J238" s="20">
        <f>IF(A238="","",SUMIFS(Pagos!$E:$E,Pagos!$D:$D,A238))</f>
        <v/>
      </c>
      <c r="K238" s="20">
        <f>IF(A238="","",I238-J238)</f>
        <v/>
      </c>
      <c r="L238" s="22">
        <f>IF(B238="","",B238+60)</f>
        <v/>
      </c>
    </row>
    <row r="239">
      <c r="A239" s="18">
        <f>IF(C239="","","V"&amp;TEXT(ROW()-1,"000"))</f>
        <v/>
      </c>
      <c r="B239" s="19" t="n"/>
      <c r="D239" s="18">
        <f>IFERROR(VLOOKUP(C239,Alumnos!$A:$B,2,FALSE),"")</f>
        <v/>
      </c>
      <c r="F239" s="18">
        <f>IFERROR(VLOOKUP(E239,Catalogo!$A$2:$H$60,4,FALSE),"")</f>
        <v/>
      </c>
      <c r="G239" s="20">
        <f>IFERROR(VLOOKUP(E239,Catalogo!$A$2:$H$60,5,FALSE),"")</f>
        <v/>
      </c>
      <c r="H239" s="21" t="n"/>
      <c r="I239" s="20">
        <f>IF(G239="","",G239-H239)</f>
        <v/>
      </c>
      <c r="J239" s="20">
        <f>IF(A239="","",SUMIFS(Pagos!$E:$E,Pagos!$D:$D,A239))</f>
        <v/>
      </c>
      <c r="K239" s="20">
        <f>IF(A239="","",I239-J239)</f>
        <v/>
      </c>
      <c r="L239" s="22">
        <f>IF(B239="","",B239+60)</f>
        <v/>
      </c>
    </row>
    <row r="240">
      <c r="A240" s="18">
        <f>IF(C240="","","V"&amp;TEXT(ROW()-1,"000"))</f>
        <v/>
      </c>
      <c r="B240" s="19" t="n"/>
      <c r="D240" s="18">
        <f>IFERROR(VLOOKUP(C240,Alumnos!$A:$B,2,FALSE),"")</f>
        <v/>
      </c>
      <c r="F240" s="18">
        <f>IFERROR(VLOOKUP(E240,Catalogo!$A$2:$H$60,4,FALSE),"")</f>
        <v/>
      </c>
      <c r="G240" s="20">
        <f>IFERROR(VLOOKUP(E240,Catalogo!$A$2:$H$60,5,FALSE),"")</f>
        <v/>
      </c>
      <c r="H240" s="21" t="n"/>
      <c r="I240" s="20">
        <f>IF(G240="","",G240-H240)</f>
        <v/>
      </c>
      <c r="J240" s="20">
        <f>IF(A240="","",SUMIFS(Pagos!$E:$E,Pagos!$D:$D,A240))</f>
        <v/>
      </c>
      <c r="K240" s="20">
        <f>IF(A240="","",I240-J240)</f>
        <v/>
      </c>
      <c r="L240" s="22">
        <f>IF(B240="","",B240+60)</f>
        <v/>
      </c>
    </row>
    <row r="241">
      <c r="A241" s="18">
        <f>IF(C241="","","V"&amp;TEXT(ROW()-1,"000"))</f>
        <v/>
      </c>
      <c r="B241" s="19" t="n"/>
      <c r="D241" s="18">
        <f>IFERROR(VLOOKUP(C241,Alumnos!$A:$B,2,FALSE),"")</f>
        <v/>
      </c>
      <c r="F241" s="18">
        <f>IFERROR(VLOOKUP(E241,Catalogo!$A$2:$H$60,4,FALSE),"")</f>
        <v/>
      </c>
      <c r="G241" s="20">
        <f>IFERROR(VLOOKUP(E241,Catalogo!$A$2:$H$60,5,FALSE),"")</f>
        <v/>
      </c>
      <c r="H241" s="21" t="n"/>
      <c r="I241" s="20">
        <f>IF(G241="","",G241-H241)</f>
        <v/>
      </c>
      <c r="J241" s="20">
        <f>IF(A241="","",SUMIFS(Pagos!$E:$E,Pagos!$D:$D,A241))</f>
        <v/>
      </c>
      <c r="K241" s="20">
        <f>IF(A241="","",I241-J241)</f>
        <v/>
      </c>
      <c r="L241" s="22">
        <f>IF(B241="","",B241+60)</f>
        <v/>
      </c>
    </row>
    <row r="242">
      <c r="A242" s="18">
        <f>IF(C242="","","V"&amp;TEXT(ROW()-1,"000"))</f>
        <v/>
      </c>
      <c r="B242" s="19" t="n"/>
      <c r="D242" s="18">
        <f>IFERROR(VLOOKUP(C242,Alumnos!$A:$B,2,FALSE),"")</f>
        <v/>
      </c>
      <c r="F242" s="18">
        <f>IFERROR(VLOOKUP(E242,Catalogo!$A$2:$H$60,4,FALSE),"")</f>
        <v/>
      </c>
      <c r="G242" s="20">
        <f>IFERROR(VLOOKUP(E242,Catalogo!$A$2:$H$60,5,FALSE),"")</f>
        <v/>
      </c>
      <c r="H242" s="21" t="n"/>
      <c r="I242" s="20">
        <f>IF(G242="","",G242-H242)</f>
        <v/>
      </c>
      <c r="J242" s="20">
        <f>IF(A242="","",SUMIFS(Pagos!$E:$E,Pagos!$D:$D,A242))</f>
        <v/>
      </c>
      <c r="K242" s="20">
        <f>IF(A242="","",I242-J242)</f>
        <v/>
      </c>
      <c r="L242" s="22">
        <f>IF(B242="","",B242+60)</f>
        <v/>
      </c>
    </row>
    <row r="243">
      <c r="A243" s="18">
        <f>IF(C243="","","V"&amp;TEXT(ROW()-1,"000"))</f>
        <v/>
      </c>
      <c r="B243" s="19" t="n"/>
      <c r="D243" s="18">
        <f>IFERROR(VLOOKUP(C243,Alumnos!$A:$B,2,FALSE),"")</f>
        <v/>
      </c>
      <c r="F243" s="18">
        <f>IFERROR(VLOOKUP(E243,Catalogo!$A$2:$H$60,4,FALSE),"")</f>
        <v/>
      </c>
      <c r="G243" s="20">
        <f>IFERROR(VLOOKUP(E243,Catalogo!$A$2:$H$60,5,FALSE),"")</f>
        <v/>
      </c>
      <c r="H243" s="21" t="n"/>
      <c r="I243" s="20">
        <f>IF(G243="","",G243-H243)</f>
        <v/>
      </c>
      <c r="J243" s="20">
        <f>IF(A243="","",SUMIFS(Pagos!$E:$E,Pagos!$D:$D,A243))</f>
        <v/>
      </c>
      <c r="K243" s="20">
        <f>IF(A243="","",I243-J243)</f>
        <v/>
      </c>
      <c r="L243" s="22">
        <f>IF(B243="","",B243+60)</f>
        <v/>
      </c>
    </row>
    <row r="244">
      <c r="A244" s="18">
        <f>IF(C244="","","V"&amp;TEXT(ROW()-1,"000"))</f>
        <v/>
      </c>
      <c r="B244" s="19" t="n"/>
      <c r="D244" s="18">
        <f>IFERROR(VLOOKUP(C244,Alumnos!$A:$B,2,FALSE),"")</f>
        <v/>
      </c>
      <c r="F244" s="18">
        <f>IFERROR(VLOOKUP(E244,Catalogo!$A$2:$H$60,4,FALSE),"")</f>
        <v/>
      </c>
      <c r="G244" s="20">
        <f>IFERROR(VLOOKUP(E244,Catalogo!$A$2:$H$60,5,FALSE),"")</f>
        <v/>
      </c>
      <c r="H244" s="21" t="n"/>
      <c r="I244" s="20">
        <f>IF(G244="","",G244-H244)</f>
        <v/>
      </c>
      <c r="J244" s="20">
        <f>IF(A244="","",SUMIFS(Pagos!$E:$E,Pagos!$D:$D,A244))</f>
        <v/>
      </c>
      <c r="K244" s="20">
        <f>IF(A244="","",I244-J244)</f>
        <v/>
      </c>
      <c r="L244" s="22">
        <f>IF(B244="","",B244+60)</f>
        <v/>
      </c>
    </row>
    <row r="245">
      <c r="A245" s="18">
        <f>IF(C245="","","V"&amp;TEXT(ROW()-1,"000"))</f>
        <v/>
      </c>
      <c r="B245" s="19" t="n"/>
      <c r="D245" s="18">
        <f>IFERROR(VLOOKUP(C245,Alumnos!$A:$B,2,FALSE),"")</f>
        <v/>
      </c>
      <c r="F245" s="18">
        <f>IFERROR(VLOOKUP(E245,Catalogo!$A$2:$H$60,4,FALSE),"")</f>
        <v/>
      </c>
      <c r="G245" s="20">
        <f>IFERROR(VLOOKUP(E245,Catalogo!$A$2:$H$60,5,FALSE),"")</f>
        <v/>
      </c>
      <c r="H245" s="21" t="n"/>
      <c r="I245" s="20">
        <f>IF(G245="","",G245-H245)</f>
        <v/>
      </c>
      <c r="J245" s="20">
        <f>IF(A245="","",SUMIFS(Pagos!$E:$E,Pagos!$D:$D,A245))</f>
        <v/>
      </c>
      <c r="K245" s="20">
        <f>IF(A245="","",I245-J245)</f>
        <v/>
      </c>
      <c r="L245" s="22">
        <f>IF(B245="","",B245+60)</f>
        <v/>
      </c>
    </row>
    <row r="246">
      <c r="A246" s="18">
        <f>IF(C246="","","V"&amp;TEXT(ROW()-1,"000"))</f>
        <v/>
      </c>
      <c r="B246" s="19" t="n"/>
      <c r="D246" s="18">
        <f>IFERROR(VLOOKUP(C246,Alumnos!$A:$B,2,FALSE),"")</f>
        <v/>
      </c>
      <c r="F246" s="18">
        <f>IFERROR(VLOOKUP(E246,Catalogo!$A$2:$H$60,4,FALSE),"")</f>
        <v/>
      </c>
      <c r="G246" s="20">
        <f>IFERROR(VLOOKUP(E246,Catalogo!$A$2:$H$60,5,FALSE),"")</f>
        <v/>
      </c>
      <c r="H246" s="21" t="n"/>
      <c r="I246" s="20">
        <f>IF(G246="","",G246-H246)</f>
        <v/>
      </c>
      <c r="J246" s="20">
        <f>IF(A246="","",SUMIFS(Pagos!$E:$E,Pagos!$D:$D,A246))</f>
        <v/>
      </c>
      <c r="K246" s="20">
        <f>IF(A246="","",I246-J246)</f>
        <v/>
      </c>
      <c r="L246" s="22">
        <f>IF(B246="","",B246+60)</f>
        <v/>
      </c>
    </row>
    <row r="247">
      <c r="A247" s="18">
        <f>IF(C247="","","V"&amp;TEXT(ROW()-1,"000"))</f>
        <v/>
      </c>
      <c r="B247" s="19" t="n"/>
      <c r="D247" s="18">
        <f>IFERROR(VLOOKUP(C247,Alumnos!$A:$B,2,FALSE),"")</f>
        <v/>
      </c>
      <c r="F247" s="18">
        <f>IFERROR(VLOOKUP(E247,Catalogo!$A$2:$H$60,4,FALSE),"")</f>
        <v/>
      </c>
      <c r="G247" s="20">
        <f>IFERROR(VLOOKUP(E247,Catalogo!$A$2:$H$60,5,FALSE),"")</f>
        <v/>
      </c>
      <c r="H247" s="21" t="n"/>
      <c r="I247" s="20">
        <f>IF(G247="","",G247-H247)</f>
        <v/>
      </c>
      <c r="J247" s="20">
        <f>IF(A247="","",SUMIFS(Pagos!$E:$E,Pagos!$D:$D,A247))</f>
        <v/>
      </c>
      <c r="K247" s="20">
        <f>IF(A247="","",I247-J247)</f>
        <v/>
      </c>
      <c r="L247" s="22">
        <f>IF(B247="","",B247+60)</f>
        <v/>
      </c>
    </row>
    <row r="248">
      <c r="A248" s="18">
        <f>IF(C248="","","V"&amp;TEXT(ROW()-1,"000"))</f>
        <v/>
      </c>
      <c r="B248" s="19" t="n"/>
      <c r="D248" s="18">
        <f>IFERROR(VLOOKUP(C248,Alumnos!$A:$B,2,FALSE),"")</f>
        <v/>
      </c>
      <c r="F248" s="18">
        <f>IFERROR(VLOOKUP(E248,Catalogo!$A$2:$H$60,4,FALSE),"")</f>
        <v/>
      </c>
      <c r="G248" s="20">
        <f>IFERROR(VLOOKUP(E248,Catalogo!$A$2:$H$60,5,FALSE),"")</f>
        <v/>
      </c>
      <c r="H248" s="21" t="n"/>
      <c r="I248" s="20">
        <f>IF(G248="","",G248-H248)</f>
        <v/>
      </c>
      <c r="J248" s="20">
        <f>IF(A248="","",SUMIFS(Pagos!$E:$E,Pagos!$D:$D,A248))</f>
        <v/>
      </c>
      <c r="K248" s="20">
        <f>IF(A248="","",I248-J248)</f>
        <v/>
      </c>
      <c r="L248" s="22">
        <f>IF(B248="","",B248+60)</f>
        <v/>
      </c>
    </row>
    <row r="249">
      <c r="A249" s="18">
        <f>IF(C249="","","V"&amp;TEXT(ROW()-1,"000"))</f>
        <v/>
      </c>
      <c r="B249" s="19" t="n"/>
      <c r="D249" s="18">
        <f>IFERROR(VLOOKUP(C249,Alumnos!$A:$B,2,FALSE),"")</f>
        <v/>
      </c>
      <c r="F249" s="18">
        <f>IFERROR(VLOOKUP(E249,Catalogo!$A$2:$H$60,4,FALSE),"")</f>
        <v/>
      </c>
      <c r="G249" s="20">
        <f>IFERROR(VLOOKUP(E249,Catalogo!$A$2:$H$60,5,FALSE),"")</f>
        <v/>
      </c>
      <c r="H249" s="21" t="n"/>
      <c r="I249" s="20">
        <f>IF(G249="","",G249-H249)</f>
        <v/>
      </c>
      <c r="J249" s="20">
        <f>IF(A249="","",SUMIFS(Pagos!$E:$E,Pagos!$D:$D,A249))</f>
        <v/>
      </c>
      <c r="K249" s="20">
        <f>IF(A249="","",I249-J249)</f>
        <v/>
      </c>
      <c r="L249" s="22">
        <f>IF(B249="","",B249+60)</f>
        <v/>
      </c>
    </row>
    <row r="250">
      <c r="A250" s="18">
        <f>IF(C250="","","V"&amp;TEXT(ROW()-1,"000"))</f>
        <v/>
      </c>
      <c r="B250" s="19" t="n"/>
      <c r="D250" s="18">
        <f>IFERROR(VLOOKUP(C250,Alumnos!$A:$B,2,FALSE),"")</f>
        <v/>
      </c>
      <c r="F250" s="18">
        <f>IFERROR(VLOOKUP(E250,Catalogo!$A$2:$H$60,4,FALSE),"")</f>
        <v/>
      </c>
      <c r="G250" s="20">
        <f>IFERROR(VLOOKUP(E250,Catalogo!$A$2:$H$60,5,FALSE),"")</f>
        <v/>
      </c>
      <c r="H250" s="21" t="n"/>
      <c r="I250" s="20">
        <f>IF(G250="","",G250-H250)</f>
        <v/>
      </c>
      <c r="J250" s="20">
        <f>IF(A250="","",SUMIFS(Pagos!$E:$E,Pagos!$D:$D,A250))</f>
        <v/>
      </c>
      <c r="K250" s="20">
        <f>IF(A250="","",I250-J250)</f>
        <v/>
      </c>
      <c r="L250" s="22">
        <f>IF(B250="","",B250+60)</f>
        <v/>
      </c>
    </row>
    <row r="251">
      <c r="A251" s="18">
        <f>IF(C251="","","V"&amp;TEXT(ROW()-1,"000"))</f>
        <v/>
      </c>
      <c r="B251" s="19" t="n"/>
      <c r="D251" s="18">
        <f>IFERROR(VLOOKUP(C251,Alumnos!$A:$B,2,FALSE),"")</f>
        <v/>
      </c>
      <c r="F251" s="18">
        <f>IFERROR(VLOOKUP(E251,Catalogo!$A$2:$H$60,4,FALSE),"")</f>
        <v/>
      </c>
      <c r="G251" s="20">
        <f>IFERROR(VLOOKUP(E251,Catalogo!$A$2:$H$60,5,FALSE),"")</f>
        <v/>
      </c>
      <c r="H251" s="21" t="n"/>
      <c r="I251" s="20">
        <f>IF(G251="","",G251-H251)</f>
        <v/>
      </c>
      <c r="J251" s="20">
        <f>IF(A251="","",SUMIFS(Pagos!$E:$E,Pagos!$D:$D,A251))</f>
        <v/>
      </c>
      <c r="K251" s="20">
        <f>IF(A251="","",I251-J251)</f>
        <v/>
      </c>
      <c r="L251" s="22">
        <f>IF(B251="","",B251+60)</f>
        <v/>
      </c>
    </row>
    <row r="252">
      <c r="A252" s="18">
        <f>IF(C252="","","V"&amp;TEXT(ROW()-1,"000"))</f>
        <v/>
      </c>
      <c r="B252" s="19" t="n"/>
      <c r="D252" s="18">
        <f>IFERROR(VLOOKUP(C252,Alumnos!$A:$B,2,FALSE),"")</f>
        <v/>
      </c>
      <c r="F252" s="18">
        <f>IFERROR(VLOOKUP(E252,Catalogo!$A$2:$H$60,4,FALSE),"")</f>
        <v/>
      </c>
      <c r="G252" s="20">
        <f>IFERROR(VLOOKUP(E252,Catalogo!$A$2:$H$60,5,FALSE),"")</f>
        <v/>
      </c>
      <c r="H252" s="21" t="n"/>
      <c r="I252" s="20">
        <f>IF(G252="","",G252-H252)</f>
        <v/>
      </c>
      <c r="J252" s="20">
        <f>IF(A252="","",SUMIFS(Pagos!$E:$E,Pagos!$D:$D,A252))</f>
        <v/>
      </c>
      <c r="K252" s="20">
        <f>IF(A252="","",I252-J252)</f>
        <v/>
      </c>
      <c r="L252" s="22">
        <f>IF(B252="","",B252+60)</f>
        <v/>
      </c>
    </row>
    <row r="253">
      <c r="A253" s="18">
        <f>IF(C253="","","V"&amp;TEXT(ROW()-1,"000"))</f>
        <v/>
      </c>
      <c r="B253" s="19" t="n"/>
      <c r="D253" s="18">
        <f>IFERROR(VLOOKUP(C253,Alumnos!$A:$B,2,FALSE),"")</f>
        <v/>
      </c>
      <c r="F253" s="18">
        <f>IFERROR(VLOOKUP(E253,Catalogo!$A$2:$H$60,4,FALSE),"")</f>
        <v/>
      </c>
      <c r="G253" s="20">
        <f>IFERROR(VLOOKUP(E253,Catalogo!$A$2:$H$60,5,FALSE),"")</f>
        <v/>
      </c>
      <c r="H253" s="21" t="n"/>
      <c r="I253" s="20">
        <f>IF(G253="","",G253-H253)</f>
        <v/>
      </c>
      <c r="J253" s="20">
        <f>IF(A253="","",SUMIFS(Pagos!$E:$E,Pagos!$D:$D,A253))</f>
        <v/>
      </c>
      <c r="K253" s="20">
        <f>IF(A253="","",I253-J253)</f>
        <v/>
      </c>
      <c r="L253" s="22">
        <f>IF(B253="","",B253+60)</f>
        <v/>
      </c>
    </row>
    <row r="254">
      <c r="A254" s="18">
        <f>IF(C254="","","V"&amp;TEXT(ROW()-1,"000"))</f>
        <v/>
      </c>
      <c r="B254" s="19" t="n"/>
      <c r="D254" s="18">
        <f>IFERROR(VLOOKUP(C254,Alumnos!$A:$B,2,FALSE),"")</f>
        <v/>
      </c>
      <c r="F254" s="18">
        <f>IFERROR(VLOOKUP(E254,Catalogo!$A$2:$H$60,4,FALSE),"")</f>
        <v/>
      </c>
      <c r="G254" s="20">
        <f>IFERROR(VLOOKUP(E254,Catalogo!$A$2:$H$60,5,FALSE),"")</f>
        <v/>
      </c>
      <c r="H254" s="21" t="n"/>
      <c r="I254" s="20">
        <f>IF(G254="","",G254-H254)</f>
        <v/>
      </c>
      <c r="J254" s="20">
        <f>IF(A254="","",SUMIFS(Pagos!$E:$E,Pagos!$D:$D,A254))</f>
        <v/>
      </c>
      <c r="K254" s="20">
        <f>IF(A254="","",I254-J254)</f>
        <v/>
      </c>
      <c r="L254" s="22">
        <f>IF(B254="","",B254+60)</f>
        <v/>
      </c>
    </row>
    <row r="255">
      <c r="A255" s="18">
        <f>IF(C255="","","V"&amp;TEXT(ROW()-1,"000"))</f>
        <v/>
      </c>
      <c r="B255" s="19" t="n"/>
      <c r="D255" s="18">
        <f>IFERROR(VLOOKUP(C255,Alumnos!$A:$B,2,FALSE),"")</f>
        <v/>
      </c>
      <c r="F255" s="18">
        <f>IFERROR(VLOOKUP(E255,Catalogo!$A$2:$H$60,4,FALSE),"")</f>
        <v/>
      </c>
      <c r="G255" s="20">
        <f>IFERROR(VLOOKUP(E255,Catalogo!$A$2:$H$60,5,FALSE),"")</f>
        <v/>
      </c>
      <c r="H255" s="21" t="n"/>
      <c r="I255" s="20">
        <f>IF(G255="","",G255-H255)</f>
        <v/>
      </c>
      <c r="J255" s="20">
        <f>IF(A255="","",SUMIFS(Pagos!$E:$E,Pagos!$D:$D,A255))</f>
        <v/>
      </c>
      <c r="K255" s="20">
        <f>IF(A255="","",I255-J255)</f>
        <v/>
      </c>
      <c r="L255" s="22">
        <f>IF(B255="","",B255+60)</f>
        <v/>
      </c>
    </row>
    <row r="256">
      <c r="A256" s="18">
        <f>IF(C256="","","V"&amp;TEXT(ROW()-1,"000"))</f>
        <v/>
      </c>
      <c r="B256" s="19" t="n"/>
      <c r="D256" s="18">
        <f>IFERROR(VLOOKUP(C256,Alumnos!$A:$B,2,FALSE),"")</f>
        <v/>
      </c>
      <c r="F256" s="18">
        <f>IFERROR(VLOOKUP(E256,Catalogo!$A$2:$H$60,4,FALSE),"")</f>
        <v/>
      </c>
      <c r="G256" s="20">
        <f>IFERROR(VLOOKUP(E256,Catalogo!$A$2:$H$60,5,FALSE),"")</f>
        <v/>
      </c>
      <c r="H256" s="21" t="n"/>
      <c r="I256" s="20">
        <f>IF(G256="","",G256-H256)</f>
        <v/>
      </c>
      <c r="J256" s="20">
        <f>IF(A256="","",SUMIFS(Pagos!$E:$E,Pagos!$D:$D,A256))</f>
        <v/>
      </c>
      <c r="K256" s="20">
        <f>IF(A256="","",I256-J256)</f>
        <v/>
      </c>
      <c r="L256" s="22">
        <f>IF(B256="","",B256+60)</f>
        <v/>
      </c>
    </row>
    <row r="257">
      <c r="A257" s="18">
        <f>IF(C257="","","V"&amp;TEXT(ROW()-1,"000"))</f>
        <v/>
      </c>
      <c r="B257" s="19" t="n"/>
      <c r="D257" s="18">
        <f>IFERROR(VLOOKUP(C257,Alumnos!$A:$B,2,FALSE),"")</f>
        <v/>
      </c>
      <c r="F257" s="18">
        <f>IFERROR(VLOOKUP(E257,Catalogo!$A$2:$H$60,4,FALSE),"")</f>
        <v/>
      </c>
      <c r="G257" s="20">
        <f>IFERROR(VLOOKUP(E257,Catalogo!$A$2:$H$60,5,FALSE),"")</f>
        <v/>
      </c>
      <c r="H257" s="21" t="n"/>
      <c r="I257" s="20">
        <f>IF(G257="","",G257-H257)</f>
        <v/>
      </c>
      <c r="J257" s="20">
        <f>IF(A257="","",SUMIFS(Pagos!$E:$E,Pagos!$D:$D,A257))</f>
        <v/>
      </c>
      <c r="K257" s="20">
        <f>IF(A257="","",I257-J257)</f>
        <v/>
      </c>
      <c r="L257" s="22">
        <f>IF(B257="","",B257+60)</f>
        <v/>
      </c>
    </row>
    <row r="258">
      <c r="A258" s="18">
        <f>IF(C258="","","V"&amp;TEXT(ROW()-1,"000"))</f>
        <v/>
      </c>
      <c r="B258" s="19" t="n"/>
      <c r="D258" s="18">
        <f>IFERROR(VLOOKUP(C258,Alumnos!$A:$B,2,FALSE),"")</f>
        <v/>
      </c>
      <c r="F258" s="18">
        <f>IFERROR(VLOOKUP(E258,Catalogo!$A$2:$H$60,4,FALSE),"")</f>
        <v/>
      </c>
      <c r="G258" s="20">
        <f>IFERROR(VLOOKUP(E258,Catalogo!$A$2:$H$60,5,FALSE),"")</f>
        <v/>
      </c>
      <c r="H258" s="21" t="n"/>
      <c r="I258" s="20">
        <f>IF(G258="","",G258-H258)</f>
        <v/>
      </c>
      <c r="J258" s="20">
        <f>IF(A258="","",SUMIFS(Pagos!$E:$E,Pagos!$D:$D,A258))</f>
        <v/>
      </c>
      <c r="K258" s="20">
        <f>IF(A258="","",I258-J258)</f>
        <v/>
      </c>
      <c r="L258" s="22">
        <f>IF(B258="","",B258+60)</f>
        <v/>
      </c>
    </row>
    <row r="259">
      <c r="A259" s="18">
        <f>IF(C259="","","V"&amp;TEXT(ROW()-1,"000"))</f>
        <v/>
      </c>
      <c r="B259" s="19" t="n"/>
      <c r="D259" s="18">
        <f>IFERROR(VLOOKUP(C259,Alumnos!$A:$B,2,FALSE),"")</f>
        <v/>
      </c>
      <c r="F259" s="18">
        <f>IFERROR(VLOOKUP(E259,Catalogo!$A$2:$H$60,4,FALSE),"")</f>
        <v/>
      </c>
      <c r="G259" s="20">
        <f>IFERROR(VLOOKUP(E259,Catalogo!$A$2:$H$60,5,FALSE),"")</f>
        <v/>
      </c>
      <c r="H259" s="21" t="n"/>
      <c r="I259" s="20">
        <f>IF(G259="","",G259-H259)</f>
        <v/>
      </c>
      <c r="J259" s="20">
        <f>IF(A259="","",SUMIFS(Pagos!$E:$E,Pagos!$D:$D,A259))</f>
        <v/>
      </c>
      <c r="K259" s="20">
        <f>IF(A259="","",I259-J259)</f>
        <v/>
      </c>
      <c r="L259" s="22">
        <f>IF(B259="","",B259+60)</f>
        <v/>
      </c>
    </row>
    <row r="260">
      <c r="A260" s="18">
        <f>IF(C260="","","V"&amp;TEXT(ROW()-1,"000"))</f>
        <v/>
      </c>
      <c r="B260" s="19" t="n"/>
      <c r="D260" s="18">
        <f>IFERROR(VLOOKUP(C260,Alumnos!$A:$B,2,FALSE),"")</f>
        <v/>
      </c>
      <c r="F260" s="18">
        <f>IFERROR(VLOOKUP(E260,Catalogo!$A$2:$H$60,4,FALSE),"")</f>
        <v/>
      </c>
      <c r="G260" s="20">
        <f>IFERROR(VLOOKUP(E260,Catalogo!$A$2:$H$60,5,FALSE),"")</f>
        <v/>
      </c>
      <c r="H260" s="21" t="n"/>
      <c r="I260" s="20">
        <f>IF(G260="","",G260-H260)</f>
        <v/>
      </c>
      <c r="J260" s="20">
        <f>IF(A260="","",SUMIFS(Pagos!$E:$E,Pagos!$D:$D,A260))</f>
        <v/>
      </c>
      <c r="K260" s="20">
        <f>IF(A260="","",I260-J260)</f>
        <v/>
      </c>
      <c r="L260" s="22">
        <f>IF(B260="","",B260+60)</f>
        <v/>
      </c>
    </row>
    <row r="261">
      <c r="A261" s="18">
        <f>IF(C261="","","V"&amp;TEXT(ROW()-1,"000"))</f>
        <v/>
      </c>
      <c r="B261" s="19" t="n"/>
      <c r="D261" s="18">
        <f>IFERROR(VLOOKUP(C261,Alumnos!$A:$B,2,FALSE),"")</f>
        <v/>
      </c>
      <c r="F261" s="18">
        <f>IFERROR(VLOOKUP(E261,Catalogo!$A$2:$H$60,4,FALSE),"")</f>
        <v/>
      </c>
      <c r="G261" s="20">
        <f>IFERROR(VLOOKUP(E261,Catalogo!$A$2:$H$60,5,FALSE),"")</f>
        <v/>
      </c>
      <c r="H261" s="21" t="n"/>
      <c r="I261" s="20">
        <f>IF(G261="","",G261-H261)</f>
        <v/>
      </c>
      <c r="J261" s="20">
        <f>IF(A261="","",SUMIFS(Pagos!$E:$E,Pagos!$D:$D,A261))</f>
        <v/>
      </c>
      <c r="K261" s="20">
        <f>IF(A261="","",I261-J261)</f>
        <v/>
      </c>
      <c r="L261" s="22">
        <f>IF(B261="","",B261+60)</f>
        <v/>
      </c>
    </row>
    <row r="262">
      <c r="A262" s="18">
        <f>IF(C262="","","V"&amp;TEXT(ROW()-1,"000"))</f>
        <v/>
      </c>
      <c r="B262" s="19" t="n"/>
      <c r="D262" s="18">
        <f>IFERROR(VLOOKUP(C262,Alumnos!$A:$B,2,FALSE),"")</f>
        <v/>
      </c>
      <c r="F262" s="18">
        <f>IFERROR(VLOOKUP(E262,Catalogo!$A$2:$H$60,4,FALSE),"")</f>
        <v/>
      </c>
      <c r="G262" s="20">
        <f>IFERROR(VLOOKUP(E262,Catalogo!$A$2:$H$60,5,FALSE),"")</f>
        <v/>
      </c>
      <c r="H262" s="21" t="n"/>
      <c r="I262" s="20">
        <f>IF(G262="","",G262-H262)</f>
        <v/>
      </c>
      <c r="J262" s="20">
        <f>IF(A262="","",SUMIFS(Pagos!$E:$E,Pagos!$D:$D,A262))</f>
        <v/>
      </c>
      <c r="K262" s="20">
        <f>IF(A262="","",I262-J262)</f>
        <v/>
      </c>
      <c r="L262" s="22">
        <f>IF(B262="","",B262+60)</f>
        <v/>
      </c>
    </row>
    <row r="263">
      <c r="A263" s="18">
        <f>IF(C263="","","V"&amp;TEXT(ROW()-1,"000"))</f>
        <v/>
      </c>
      <c r="B263" s="19" t="n"/>
      <c r="D263" s="18">
        <f>IFERROR(VLOOKUP(C263,Alumnos!$A:$B,2,FALSE),"")</f>
        <v/>
      </c>
      <c r="F263" s="18">
        <f>IFERROR(VLOOKUP(E263,Catalogo!$A$2:$H$60,4,FALSE),"")</f>
        <v/>
      </c>
      <c r="G263" s="20">
        <f>IFERROR(VLOOKUP(E263,Catalogo!$A$2:$H$60,5,FALSE),"")</f>
        <v/>
      </c>
      <c r="H263" s="21" t="n"/>
      <c r="I263" s="20">
        <f>IF(G263="","",G263-H263)</f>
        <v/>
      </c>
      <c r="J263" s="20">
        <f>IF(A263="","",SUMIFS(Pagos!$E:$E,Pagos!$D:$D,A263))</f>
        <v/>
      </c>
      <c r="K263" s="20">
        <f>IF(A263="","",I263-J263)</f>
        <v/>
      </c>
      <c r="L263" s="22">
        <f>IF(B263="","",B263+60)</f>
        <v/>
      </c>
    </row>
    <row r="264">
      <c r="A264" s="18">
        <f>IF(C264="","","V"&amp;TEXT(ROW()-1,"000"))</f>
        <v/>
      </c>
      <c r="B264" s="19" t="n"/>
      <c r="D264" s="18">
        <f>IFERROR(VLOOKUP(C264,Alumnos!$A:$B,2,FALSE),"")</f>
        <v/>
      </c>
      <c r="F264" s="18">
        <f>IFERROR(VLOOKUP(E264,Catalogo!$A$2:$H$60,4,FALSE),"")</f>
        <v/>
      </c>
      <c r="G264" s="20">
        <f>IFERROR(VLOOKUP(E264,Catalogo!$A$2:$H$60,5,FALSE),"")</f>
        <v/>
      </c>
      <c r="H264" s="21" t="n"/>
      <c r="I264" s="20">
        <f>IF(G264="","",G264-H264)</f>
        <v/>
      </c>
      <c r="J264" s="20">
        <f>IF(A264="","",SUMIFS(Pagos!$E:$E,Pagos!$D:$D,A264))</f>
        <v/>
      </c>
      <c r="K264" s="20">
        <f>IF(A264="","",I264-J264)</f>
        <v/>
      </c>
      <c r="L264" s="22">
        <f>IF(B264="","",B264+60)</f>
        <v/>
      </c>
    </row>
    <row r="265">
      <c r="A265" s="18">
        <f>IF(C265="","","V"&amp;TEXT(ROW()-1,"000"))</f>
        <v/>
      </c>
      <c r="B265" s="19" t="n"/>
      <c r="D265" s="18">
        <f>IFERROR(VLOOKUP(C265,Alumnos!$A:$B,2,FALSE),"")</f>
        <v/>
      </c>
      <c r="F265" s="18">
        <f>IFERROR(VLOOKUP(E265,Catalogo!$A$2:$H$60,4,FALSE),"")</f>
        <v/>
      </c>
      <c r="G265" s="20">
        <f>IFERROR(VLOOKUP(E265,Catalogo!$A$2:$H$60,5,FALSE),"")</f>
        <v/>
      </c>
      <c r="H265" s="21" t="n"/>
      <c r="I265" s="20">
        <f>IF(G265="","",G265-H265)</f>
        <v/>
      </c>
      <c r="J265" s="20">
        <f>IF(A265="","",SUMIFS(Pagos!$E:$E,Pagos!$D:$D,A265))</f>
        <v/>
      </c>
      <c r="K265" s="20">
        <f>IF(A265="","",I265-J265)</f>
        <v/>
      </c>
      <c r="L265" s="22">
        <f>IF(B265="","",B265+60)</f>
        <v/>
      </c>
    </row>
    <row r="266">
      <c r="A266" s="18">
        <f>IF(C266="","","V"&amp;TEXT(ROW()-1,"000"))</f>
        <v/>
      </c>
      <c r="B266" s="19" t="n"/>
      <c r="D266" s="18">
        <f>IFERROR(VLOOKUP(C266,Alumnos!$A:$B,2,FALSE),"")</f>
        <v/>
      </c>
      <c r="F266" s="18">
        <f>IFERROR(VLOOKUP(E266,Catalogo!$A$2:$H$60,4,FALSE),"")</f>
        <v/>
      </c>
      <c r="G266" s="20">
        <f>IFERROR(VLOOKUP(E266,Catalogo!$A$2:$H$60,5,FALSE),"")</f>
        <v/>
      </c>
      <c r="H266" s="21" t="n"/>
      <c r="I266" s="20">
        <f>IF(G266="","",G266-H266)</f>
        <v/>
      </c>
      <c r="J266" s="20">
        <f>IF(A266="","",SUMIFS(Pagos!$E:$E,Pagos!$D:$D,A266))</f>
        <v/>
      </c>
      <c r="K266" s="20">
        <f>IF(A266="","",I266-J266)</f>
        <v/>
      </c>
      <c r="L266" s="22">
        <f>IF(B266="","",B266+60)</f>
        <v/>
      </c>
    </row>
    <row r="267">
      <c r="A267" s="18">
        <f>IF(C267="","","V"&amp;TEXT(ROW()-1,"000"))</f>
        <v/>
      </c>
      <c r="B267" s="19" t="n"/>
      <c r="D267" s="18">
        <f>IFERROR(VLOOKUP(C267,Alumnos!$A:$B,2,FALSE),"")</f>
        <v/>
      </c>
      <c r="F267" s="18">
        <f>IFERROR(VLOOKUP(E267,Catalogo!$A$2:$H$60,4,FALSE),"")</f>
        <v/>
      </c>
      <c r="G267" s="20">
        <f>IFERROR(VLOOKUP(E267,Catalogo!$A$2:$H$60,5,FALSE),"")</f>
        <v/>
      </c>
      <c r="H267" s="21" t="n"/>
      <c r="I267" s="20">
        <f>IF(G267="","",G267-H267)</f>
        <v/>
      </c>
      <c r="J267" s="20">
        <f>IF(A267="","",SUMIFS(Pagos!$E:$E,Pagos!$D:$D,A267))</f>
        <v/>
      </c>
      <c r="K267" s="20">
        <f>IF(A267="","",I267-J267)</f>
        <v/>
      </c>
      <c r="L267" s="22">
        <f>IF(B267="","",B267+60)</f>
        <v/>
      </c>
    </row>
    <row r="268">
      <c r="A268" s="18">
        <f>IF(C268="","","V"&amp;TEXT(ROW()-1,"000"))</f>
        <v/>
      </c>
      <c r="B268" s="19" t="n"/>
      <c r="D268" s="18">
        <f>IFERROR(VLOOKUP(C268,Alumnos!$A:$B,2,FALSE),"")</f>
        <v/>
      </c>
      <c r="F268" s="18">
        <f>IFERROR(VLOOKUP(E268,Catalogo!$A$2:$H$60,4,FALSE),"")</f>
        <v/>
      </c>
      <c r="G268" s="20">
        <f>IFERROR(VLOOKUP(E268,Catalogo!$A$2:$H$60,5,FALSE),"")</f>
        <v/>
      </c>
      <c r="H268" s="21" t="n"/>
      <c r="I268" s="20">
        <f>IF(G268="","",G268-H268)</f>
        <v/>
      </c>
      <c r="J268" s="20">
        <f>IF(A268="","",SUMIFS(Pagos!$E:$E,Pagos!$D:$D,A268))</f>
        <v/>
      </c>
      <c r="K268" s="20">
        <f>IF(A268="","",I268-J268)</f>
        <v/>
      </c>
      <c r="L268" s="22">
        <f>IF(B268="","",B268+60)</f>
        <v/>
      </c>
    </row>
    <row r="269">
      <c r="A269" s="18">
        <f>IF(C269="","","V"&amp;TEXT(ROW()-1,"000"))</f>
        <v/>
      </c>
      <c r="B269" s="19" t="n"/>
      <c r="D269" s="18">
        <f>IFERROR(VLOOKUP(C269,Alumnos!$A:$B,2,FALSE),"")</f>
        <v/>
      </c>
      <c r="F269" s="18">
        <f>IFERROR(VLOOKUP(E269,Catalogo!$A$2:$H$60,4,FALSE),"")</f>
        <v/>
      </c>
      <c r="G269" s="20">
        <f>IFERROR(VLOOKUP(E269,Catalogo!$A$2:$H$60,5,FALSE),"")</f>
        <v/>
      </c>
      <c r="H269" s="21" t="n"/>
      <c r="I269" s="20">
        <f>IF(G269="","",G269-H269)</f>
        <v/>
      </c>
      <c r="J269" s="20">
        <f>IF(A269="","",SUMIFS(Pagos!$E:$E,Pagos!$D:$D,A269))</f>
        <v/>
      </c>
      <c r="K269" s="20">
        <f>IF(A269="","",I269-J269)</f>
        <v/>
      </c>
      <c r="L269" s="22">
        <f>IF(B269="","",B269+60)</f>
        <v/>
      </c>
    </row>
    <row r="270">
      <c r="A270" s="18">
        <f>IF(C270="","","V"&amp;TEXT(ROW()-1,"000"))</f>
        <v/>
      </c>
      <c r="B270" s="19" t="n"/>
      <c r="D270" s="18">
        <f>IFERROR(VLOOKUP(C270,Alumnos!$A:$B,2,FALSE),"")</f>
        <v/>
      </c>
      <c r="F270" s="18">
        <f>IFERROR(VLOOKUP(E270,Catalogo!$A$2:$H$60,4,FALSE),"")</f>
        <v/>
      </c>
      <c r="G270" s="20">
        <f>IFERROR(VLOOKUP(E270,Catalogo!$A$2:$H$60,5,FALSE),"")</f>
        <v/>
      </c>
      <c r="H270" s="21" t="n"/>
      <c r="I270" s="20">
        <f>IF(G270="","",G270-H270)</f>
        <v/>
      </c>
      <c r="J270" s="20">
        <f>IF(A270="","",SUMIFS(Pagos!$E:$E,Pagos!$D:$D,A270))</f>
        <v/>
      </c>
      <c r="K270" s="20">
        <f>IF(A270="","",I270-J270)</f>
        <v/>
      </c>
      <c r="L270" s="22">
        <f>IF(B270="","",B270+60)</f>
        <v/>
      </c>
    </row>
    <row r="271">
      <c r="A271" s="18">
        <f>IF(C271="","","V"&amp;TEXT(ROW()-1,"000"))</f>
        <v/>
      </c>
      <c r="B271" s="19" t="n"/>
      <c r="D271" s="18">
        <f>IFERROR(VLOOKUP(C271,Alumnos!$A:$B,2,FALSE),"")</f>
        <v/>
      </c>
      <c r="F271" s="18">
        <f>IFERROR(VLOOKUP(E271,Catalogo!$A$2:$H$60,4,FALSE),"")</f>
        <v/>
      </c>
      <c r="G271" s="20">
        <f>IFERROR(VLOOKUP(E271,Catalogo!$A$2:$H$60,5,FALSE),"")</f>
        <v/>
      </c>
      <c r="H271" s="21" t="n"/>
      <c r="I271" s="20">
        <f>IF(G271="","",G271-H271)</f>
        <v/>
      </c>
      <c r="J271" s="20">
        <f>IF(A271="","",SUMIFS(Pagos!$E:$E,Pagos!$D:$D,A271))</f>
        <v/>
      </c>
      <c r="K271" s="20">
        <f>IF(A271="","",I271-J271)</f>
        <v/>
      </c>
      <c r="L271" s="22">
        <f>IF(B271="","",B271+60)</f>
        <v/>
      </c>
    </row>
    <row r="272">
      <c r="A272" s="18">
        <f>IF(C272="","","V"&amp;TEXT(ROW()-1,"000"))</f>
        <v/>
      </c>
      <c r="B272" s="19" t="n"/>
      <c r="D272" s="18">
        <f>IFERROR(VLOOKUP(C272,Alumnos!$A:$B,2,FALSE),"")</f>
        <v/>
      </c>
      <c r="F272" s="18">
        <f>IFERROR(VLOOKUP(E272,Catalogo!$A$2:$H$60,4,FALSE),"")</f>
        <v/>
      </c>
      <c r="G272" s="20">
        <f>IFERROR(VLOOKUP(E272,Catalogo!$A$2:$H$60,5,FALSE),"")</f>
        <v/>
      </c>
      <c r="H272" s="21" t="n"/>
      <c r="I272" s="20">
        <f>IF(G272="","",G272-H272)</f>
        <v/>
      </c>
      <c r="J272" s="20">
        <f>IF(A272="","",SUMIFS(Pagos!$E:$E,Pagos!$D:$D,A272))</f>
        <v/>
      </c>
      <c r="K272" s="20">
        <f>IF(A272="","",I272-J272)</f>
        <v/>
      </c>
      <c r="L272" s="22">
        <f>IF(B272="","",B272+60)</f>
        <v/>
      </c>
    </row>
    <row r="273">
      <c r="A273" s="18">
        <f>IF(C273="","","V"&amp;TEXT(ROW()-1,"000"))</f>
        <v/>
      </c>
      <c r="B273" s="19" t="n"/>
      <c r="D273" s="18">
        <f>IFERROR(VLOOKUP(C273,Alumnos!$A:$B,2,FALSE),"")</f>
        <v/>
      </c>
      <c r="F273" s="18">
        <f>IFERROR(VLOOKUP(E273,Catalogo!$A$2:$H$60,4,FALSE),"")</f>
        <v/>
      </c>
      <c r="G273" s="20">
        <f>IFERROR(VLOOKUP(E273,Catalogo!$A$2:$H$60,5,FALSE),"")</f>
        <v/>
      </c>
      <c r="H273" s="21" t="n"/>
      <c r="I273" s="20">
        <f>IF(G273="","",G273-H273)</f>
        <v/>
      </c>
      <c r="J273" s="20">
        <f>IF(A273="","",SUMIFS(Pagos!$E:$E,Pagos!$D:$D,A273))</f>
        <v/>
      </c>
      <c r="K273" s="20">
        <f>IF(A273="","",I273-J273)</f>
        <v/>
      </c>
      <c r="L273" s="22">
        <f>IF(B273="","",B273+60)</f>
        <v/>
      </c>
    </row>
    <row r="274">
      <c r="A274" s="18">
        <f>IF(C274="","","V"&amp;TEXT(ROW()-1,"000"))</f>
        <v/>
      </c>
      <c r="B274" s="19" t="n"/>
      <c r="D274" s="18">
        <f>IFERROR(VLOOKUP(C274,Alumnos!$A:$B,2,FALSE),"")</f>
        <v/>
      </c>
      <c r="F274" s="18">
        <f>IFERROR(VLOOKUP(E274,Catalogo!$A$2:$H$60,4,FALSE),"")</f>
        <v/>
      </c>
      <c r="G274" s="20">
        <f>IFERROR(VLOOKUP(E274,Catalogo!$A$2:$H$60,5,FALSE),"")</f>
        <v/>
      </c>
      <c r="H274" s="21" t="n"/>
      <c r="I274" s="20">
        <f>IF(G274="","",G274-H274)</f>
        <v/>
      </c>
      <c r="J274" s="20">
        <f>IF(A274="","",SUMIFS(Pagos!$E:$E,Pagos!$D:$D,A274))</f>
        <v/>
      </c>
      <c r="K274" s="20">
        <f>IF(A274="","",I274-J274)</f>
        <v/>
      </c>
      <c r="L274" s="22">
        <f>IF(B274="","",B274+60)</f>
        <v/>
      </c>
    </row>
    <row r="275">
      <c r="A275" s="18">
        <f>IF(C275="","","V"&amp;TEXT(ROW()-1,"000"))</f>
        <v/>
      </c>
      <c r="B275" s="19" t="n"/>
      <c r="D275" s="18">
        <f>IFERROR(VLOOKUP(C275,Alumnos!$A:$B,2,FALSE),"")</f>
        <v/>
      </c>
      <c r="F275" s="18">
        <f>IFERROR(VLOOKUP(E275,Catalogo!$A$2:$H$60,4,FALSE),"")</f>
        <v/>
      </c>
      <c r="G275" s="20">
        <f>IFERROR(VLOOKUP(E275,Catalogo!$A$2:$H$60,5,FALSE),"")</f>
        <v/>
      </c>
      <c r="H275" s="21" t="n"/>
      <c r="I275" s="20">
        <f>IF(G275="","",G275-H275)</f>
        <v/>
      </c>
      <c r="J275" s="20">
        <f>IF(A275="","",SUMIFS(Pagos!$E:$E,Pagos!$D:$D,A275))</f>
        <v/>
      </c>
      <c r="K275" s="20">
        <f>IF(A275="","",I275-J275)</f>
        <v/>
      </c>
      <c r="L275" s="22">
        <f>IF(B275="","",B275+60)</f>
        <v/>
      </c>
    </row>
    <row r="276">
      <c r="A276" s="18">
        <f>IF(C276="","","V"&amp;TEXT(ROW()-1,"000"))</f>
        <v/>
      </c>
      <c r="B276" s="19" t="n"/>
      <c r="D276" s="18">
        <f>IFERROR(VLOOKUP(C276,Alumnos!$A:$B,2,FALSE),"")</f>
        <v/>
      </c>
      <c r="F276" s="18">
        <f>IFERROR(VLOOKUP(E276,Catalogo!$A$2:$H$60,4,FALSE),"")</f>
        <v/>
      </c>
      <c r="G276" s="20">
        <f>IFERROR(VLOOKUP(E276,Catalogo!$A$2:$H$60,5,FALSE),"")</f>
        <v/>
      </c>
      <c r="H276" s="21" t="n"/>
      <c r="I276" s="20">
        <f>IF(G276="","",G276-H276)</f>
        <v/>
      </c>
      <c r="J276" s="20">
        <f>IF(A276="","",SUMIFS(Pagos!$E:$E,Pagos!$D:$D,A276))</f>
        <v/>
      </c>
      <c r="K276" s="20">
        <f>IF(A276="","",I276-J276)</f>
        <v/>
      </c>
      <c r="L276" s="22">
        <f>IF(B276="","",B276+60)</f>
        <v/>
      </c>
    </row>
    <row r="277">
      <c r="A277" s="18">
        <f>IF(C277="","","V"&amp;TEXT(ROW()-1,"000"))</f>
        <v/>
      </c>
      <c r="B277" s="19" t="n"/>
      <c r="D277" s="18">
        <f>IFERROR(VLOOKUP(C277,Alumnos!$A:$B,2,FALSE),"")</f>
        <v/>
      </c>
      <c r="F277" s="18">
        <f>IFERROR(VLOOKUP(E277,Catalogo!$A$2:$H$60,4,FALSE),"")</f>
        <v/>
      </c>
      <c r="G277" s="20">
        <f>IFERROR(VLOOKUP(E277,Catalogo!$A$2:$H$60,5,FALSE),"")</f>
        <v/>
      </c>
      <c r="H277" s="21" t="n"/>
      <c r="I277" s="20">
        <f>IF(G277="","",G277-H277)</f>
        <v/>
      </c>
      <c r="J277" s="20">
        <f>IF(A277="","",SUMIFS(Pagos!$E:$E,Pagos!$D:$D,A277))</f>
        <v/>
      </c>
      <c r="K277" s="20">
        <f>IF(A277="","",I277-J277)</f>
        <v/>
      </c>
      <c r="L277" s="22">
        <f>IF(B277="","",B277+60)</f>
        <v/>
      </c>
    </row>
    <row r="278">
      <c r="A278" s="18">
        <f>IF(C278="","","V"&amp;TEXT(ROW()-1,"000"))</f>
        <v/>
      </c>
      <c r="B278" s="19" t="n"/>
      <c r="D278" s="18">
        <f>IFERROR(VLOOKUP(C278,Alumnos!$A:$B,2,FALSE),"")</f>
        <v/>
      </c>
      <c r="F278" s="18">
        <f>IFERROR(VLOOKUP(E278,Catalogo!$A$2:$H$60,4,FALSE),"")</f>
        <v/>
      </c>
      <c r="G278" s="20">
        <f>IFERROR(VLOOKUP(E278,Catalogo!$A$2:$H$60,5,FALSE),"")</f>
        <v/>
      </c>
      <c r="H278" s="21" t="n"/>
      <c r="I278" s="20">
        <f>IF(G278="","",G278-H278)</f>
        <v/>
      </c>
      <c r="J278" s="20">
        <f>IF(A278="","",SUMIFS(Pagos!$E:$E,Pagos!$D:$D,A278))</f>
        <v/>
      </c>
      <c r="K278" s="20">
        <f>IF(A278="","",I278-J278)</f>
        <v/>
      </c>
      <c r="L278" s="22">
        <f>IF(B278="","",B278+60)</f>
        <v/>
      </c>
    </row>
    <row r="279">
      <c r="A279" s="18">
        <f>IF(C279="","","V"&amp;TEXT(ROW()-1,"000"))</f>
        <v/>
      </c>
      <c r="B279" s="19" t="n"/>
      <c r="D279" s="18">
        <f>IFERROR(VLOOKUP(C279,Alumnos!$A:$B,2,FALSE),"")</f>
        <v/>
      </c>
      <c r="F279" s="18">
        <f>IFERROR(VLOOKUP(E279,Catalogo!$A$2:$H$60,4,FALSE),"")</f>
        <v/>
      </c>
      <c r="G279" s="20">
        <f>IFERROR(VLOOKUP(E279,Catalogo!$A$2:$H$60,5,FALSE),"")</f>
        <v/>
      </c>
      <c r="H279" s="21" t="n"/>
      <c r="I279" s="20">
        <f>IF(G279="","",G279-H279)</f>
        <v/>
      </c>
      <c r="J279" s="20">
        <f>IF(A279="","",SUMIFS(Pagos!$E:$E,Pagos!$D:$D,A279))</f>
        <v/>
      </c>
      <c r="K279" s="20">
        <f>IF(A279="","",I279-J279)</f>
        <v/>
      </c>
      <c r="L279" s="22">
        <f>IF(B279="","",B279+60)</f>
        <v/>
      </c>
    </row>
    <row r="280">
      <c r="A280" s="18">
        <f>IF(C280="","","V"&amp;TEXT(ROW()-1,"000"))</f>
        <v/>
      </c>
      <c r="B280" s="19" t="n"/>
      <c r="D280" s="18">
        <f>IFERROR(VLOOKUP(C280,Alumnos!$A:$B,2,FALSE),"")</f>
        <v/>
      </c>
      <c r="F280" s="18">
        <f>IFERROR(VLOOKUP(E280,Catalogo!$A$2:$H$60,4,FALSE),"")</f>
        <v/>
      </c>
      <c r="G280" s="20">
        <f>IFERROR(VLOOKUP(E280,Catalogo!$A$2:$H$60,5,FALSE),"")</f>
        <v/>
      </c>
      <c r="H280" s="21" t="n"/>
      <c r="I280" s="20">
        <f>IF(G280="","",G280-H280)</f>
        <v/>
      </c>
      <c r="J280" s="20">
        <f>IF(A280="","",SUMIFS(Pagos!$E:$E,Pagos!$D:$D,A280))</f>
        <v/>
      </c>
      <c r="K280" s="20">
        <f>IF(A280="","",I280-J280)</f>
        <v/>
      </c>
      <c r="L280" s="22">
        <f>IF(B280="","",B280+60)</f>
        <v/>
      </c>
    </row>
    <row r="281">
      <c r="A281" s="18">
        <f>IF(C281="","","V"&amp;TEXT(ROW()-1,"000"))</f>
        <v/>
      </c>
      <c r="B281" s="19" t="n"/>
      <c r="D281" s="18">
        <f>IFERROR(VLOOKUP(C281,Alumnos!$A:$B,2,FALSE),"")</f>
        <v/>
      </c>
      <c r="F281" s="18">
        <f>IFERROR(VLOOKUP(E281,Catalogo!$A$2:$H$60,4,FALSE),"")</f>
        <v/>
      </c>
      <c r="G281" s="20">
        <f>IFERROR(VLOOKUP(E281,Catalogo!$A$2:$H$60,5,FALSE),"")</f>
        <v/>
      </c>
      <c r="H281" s="21" t="n"/>
      <c r="I281" s="20">
        <f>IF(G281="","",G281-H281)</f>
        <v/>
      </c>
      <c r="J281" s="20">
        <f>IF(A281="","",SUMIFS(Pagos!$E:$E,Pagos!$D:$D,A281))</f>
        <v/>
      </c>
      <c r="K281" s="20">
        <f>IF(A281="","",I281-J281)</f>
        <v/>
      </c>
      <c r="L281" s="22">
        <f>IF(B281="","",B281+60)</f>
        <v/>
      </c>
    </row>
    <row r="282">
      <c r="A282" s="18">
        <f>IF(C282="","","V"&amp;TEXT(ROW()-1,"000"))</f>
        <v/>
      </c>
      <c r="B282" s="19" t="n"/>
      <c r="D282" s="18">
        <f>IFERROR(VLOOKUP(C282,Alumnos!$A:$B,2,FALSE),"")</f>
        <v/>
      </c>
      <c r="F282" s="18">
        <f>IFERROR(VLOOKUP(E282,Catalogo!$A$2:$H$60,4,FALSE),"")</f>
        <v/>
      </c>
      <c r="G282" s="20">
        <f>IFERROR(VLOOKUP(E282,Catalogo!$A$2:$H$60,5,FALSE),"")</f>
        <v/>
      </c>
      <c r="H282" s="21" t="n"/>
      <c r="I282" s="20">
        <f>IF(G282="","",G282-H282)</f>
        <v/>
      </c>
      <c r="J282" s="20">
        <f>IF(A282="","",SUMIFS(Pagos!$E:$E,Pagos!$D:$D,A282))</f>
        <v/>
      </c>
      <c r="K282" s="20">
        <f>IF(A282="","",I282-J282)</f>
        <v/>
      </c>
      <c r="L282" s="22">
        <f>IF(B282="","",B282+60)</f>
        <v/>
      </c>
    </row>
    <row r="283">
      <c r="A283" s="18">
        <f>IF(C283="","","V"&amp;TEXT(ROW()-1,"000"))</f>
        <v/>
      </c>
      <c r="B283" s="19" t="n"/>
      <c r="D283" s="18">
        <f>IFERROR(VLOOKUP(C283,Alumnos!$A:$B,2,FALSE),"")</f>
        <v/>
      </c>
      <c r="F283" s="18">
        <f>IFERROR(VLOOKUP(E283,Catalogo!$A$2:$H$60,4,FALSE),"")</f>
        <v/>
      </c>
      <c r="G283" s="20">
        <f>IFERROR(VLOOKUP(E283,Catalogo!$A$2:$H$60,5,FALSE),"")</f>
        <v/>
      </c>
      <c r="H283" s="21" t="n"/>
      <c r="I283" s="20">
        <f>IF(G283="","",G283-H283)</f>
        <v/>
      </c>
      <c r="J283" s="20">
        <f>IF(A283="","",SUMIFS(Pagos!$E:$E,Pagos!$D:$D,A283))</f>
        <v/>
      </c>
      <c r="K283" s="20">
        <f>IF(A283="","",I283-J283)</f>
        <v/>
      </c>
      <c r="L283" s="22">
        <f>IF(B283="","",B283+60)</f>
        <v/>
      </c>
    </row>
    <row r="284">
      <c r="A284" s="18">
        <f>IF(C284="","","V"&amp;TEXT(ROW()-1,"000"))</f>
        <v/>
      </c>
      <c r="B284" s="19" t="n"/>
      <c r="D284" s="18">
        <f>IFERROR(VLOOKUP(C284,Alumnos!$A:$B,2,FALSE),"")</f>
        <v/>
      </c>
      <c r="F284" s="18">
        <f>IFERROR(VLOOKUP(E284,Catalogo!$A$2:$H$60,4,FALSE),"")</f>
        <v/>
      </c>
      <c r="G284" s="20">
        <f>IFERROR(VLOOKUP(E284,Catalogo!$A$2:$H$60,5,FALSE),"")</f>
        <v/>
      </c>
      <c r="H284" s="21" t="n"/>
      <c r="I284" s="20">
        <f>IF(G284="","",G284-H284)</f>
        <v/>
      </c>
      <c r="J284" s="20">
        <f>IF(A284="","",SUMIFS(Pagos!$E:$E,Pagos!$D:$D,A284))</f>
        <v/>
      </c>
      <c r="K284" s="20">
        <f>IF(A284="","",I284-J284)</f>
        <v/>
      </c>
      <c r="L284" s="22">
        <f>IF(B284="","",B284+60)</f>
        <v/>
      </c>
    </row>
    <row r="285">
      <c r="A285" s="18">
        <f>IF(C285="","","V"&amp;TEXT(ROW()-1,"000"))</f>
        <v/>
      </c>
      <c r="B285" s="19" t="n"/>
      <c r="D285" s="18">
        <f>IFERROR(VLOOKUP(C285,Alumnos!$A:$B,2,FALSE),"")</f>
        <v/>
      </c>
      <c r="F285" s="18">
        <f>IFERROR(VLOOKUP(E285,Catalogo!$A$2:$H$60,4,FALSE),"")</f>
        <v/>
      </c>
      <c r="G285" s="20">
        <f>IFERROR(VLOOKUP(E285,Catalogo!$A$2:$H$60,5,FALSE),"")</f>
        <v/>
      </c>
      <c r="H285" s="21" t="n"/>
      <c r="I285" s="20">
        <f>IF(G285="","",G285-H285)</f>
        <v/>
      </c>
      <c r="J285" s="20">
        <f>IF(A285="","",SUMIFS(Pagos!$E:$E,Pagos!$D:$D,A285))</f>
        <v/>
      </c>
      <c r="K285" s="20">
        <f>IF(A285="","",I285-J285)</f>
        <v/>
      </c>
      <c r="L285" s="22">
        <f>IF(B285="","",B285+60)</f>
        <v/>
      </c>
    </row>
    <row r="286">
      <c r="A286" s="18">
        <f>IF(C286="","","V"&amp;TEXT(ROW()-1,"000"))</f>
        <v/>
      </c>
      <c r="B286" s="19" t="n"/>
      <c r="D286" s="18">
        <f>IFERROR(VLOOKUP(C286,Alumnos!$A:$B,2,FALSE),"")</f>
        <v/>
      </c>
      <c r="F286" s="18">
        <f>IFERROR(VLOOKUP(E286,Catalogo!$A$2:$H$60,4,FALSE),"")</f>
        <v/>
      </c>
      <c r="G286" s="20">
        <f>IFERROR(VLOOKUP(E286,Catalogo!$A$2:$H$60,5,FALSE),"")</f>
        <v/>
      </c>
      <c r="H286" s="21" t="n"/>
      <c r="I286" s="20">
        <f>IF(G286="","",G286-H286)</f>
        <v/>
      </c>
      <c r="J286" s="20">
        <f>IF(A286="","",SUMIFS(Pagos!$E:$E,Pagos!$D:$D,A286))</f>
        <v/>
      </c>
      <c r="K286" s="20">
        <f>IF(A286="","",I286-J286)</f>
        <v/>
      </c>
      <c r="L286" s="22">
        <f>IF(B286="","",B286+60)</f>
        <v/>
      </c>
    </row>
    <row r="287">
      <c r="A287" s="18">
        <f>IF(C287="","","V"&amp;TEXT(ROW()-1,"000"))</f>
        <v/>
      </c>
      <c r="B287" s="19" t="n"/>
      <c r="D287" s="18">
        <f>IFERROR(VLOOKUP(C287,Alumnos!$A:$B,2,FALSE),"")</f>
        <v/>
      </c>
      <c r="F287" s="18">
        <f>IFERROR(VLOOKUP(E287,Catalogo!$A$2:$H$60,4,FALSE),"")</f>
        <v/>
      </c>
      <c r="G287" s="20">
        <f>IFERROR(VLOOKUP(E287,Catalogo!$A$2:$H$60,5,FALSE),"")</f>
        <v/>
      </c>
      <c r="H287" s="21" t="n"/>
      <c r="I287" s="20">
        <f>IF(G287="","",G287-H287)</f>
        <v/>
      </c>
      <c r="J287" s="20">
        <f>IF(A287="","",SUMIFS(Pagos!$E:$E,Pagos!$D:$D,A287))</f>
        <v/>
      </c>
      <c r="K287" s="20">
        <f>IF(A287="","",I287-J287)</f>
        <v/>
      </c>
      <c r="L287" s="22">
        <f>IF(B287="","",B287+60)</f>
        <v/>
      </c>
    </row>
    <row r="288">
      <c r="A288" s="18">
        <f>IF(C288="","","V"&amp;TEXT(ROW()-1,"000"))</f>
        <v/>
      </c>
      <c r="B288" s="19" t="n"/>
      <c r="D288" s="18">
        <f>IFERROR(VLOOKUP(C288,Alumnos!$A:$B,2,FALSE),"")</f>
        <v/>
      </c>
      <c r="F288" s="18">
        <f>IFERROR(VLOOKUP(E288,Catalogo!$A$2:$H$60,4,FALSE),"")</f>
        <v/>
      </c>
      <c r="G288" s="20">
        <f>IFERROR(VLOOKUP(E288,Catalogo!$A$2:$H$60,5,FALSE),"")</f>
        <v/>
      </c>
      <c r="H288" s="21" t="n"/>
      <c r="I288" s="20">
        <f>IF(G288="","",G288-H288)</f>
        <v/>
      </c>
      <c r="J288" s="20">
        <f>IF(A288="","",SUMIFS(Pagos!$E:$E,Pagos!$D:$D,A288))</f>
        <v/>
      </c>
      <c r="K288" s="20">
        <f>IF(A288="","",I288-J288)</f>
        <v/>
      </c>
      <c r="L288" s="22">
        <f>IF(B288="","",B288+60)</f>
        <v/>
      </c>
    </row>
    <row r="289">
      <c r="A289" s="18">
        <f>IF(C289="","","V"&amp;TEXT(ROW()-1,"000"))</f>
        <v/>
      </c>
      <c r="B289" s="19" t="n"/>
      <c r="D289" s="18">
        <f>IFERROR(VLOOKUP(C289,Alumnos!$A:$B,2,FALSE),"")</f>
        <v/>
      </c>
      <c r="F289" s="18">
        <f>IFERROR(VLOOKUP(E289,Catalogo!$A$2:$H$60,4,FALSE),"")</f>
        <v/>
      </c>
      <c r="G289" s="20">
        <f>IFERROR(VLOOKUP(E289,Catalogo!$A$2:$H$60,5,FALSE),"")</f>
        <v/>
      </c>
      <c r="H289" s="21" t="n"/>
      <c r="I289" s="20">
        <f>IF(G289="","",G289-H289)</f>
        <v/>
      </c>
      <c r="J289" s="20">
        <f>IF(A289="","",SUMIFS(Pagos!$E:$E,Pagos!$D:$D,A289))</f>
        <v/>
      </c>
      <c r="K289" s="20">
        <f>IF(A289="","",I289-J289)</f>
        <v/>
      </c>
      <c r="L289" s="22">
        <f>IF(B289="","",B289+60)</f>
        <v/>
      </c>
    </row>
    <row r="290">
      <c r="A290" s="18">
        <f>IF(C290="","","V"&amp;TEXT(ROW()-1,"000"))</f>
        <v/>
      </c>
      <c r="B290" s="19" t="n"/>
      <c r="D290" s="18">
        <f>IFERROR(VLOOKUP(C290,Alumnos!$A:$B,2,FALSE),"")</f>
        <v/>
      </c>
      <c r="F290" s="18">
        <f>IFERROR(VLOOKUP(E290,Catalogo!$A$2:$H$60,4,FALSE),"")</f>
        <v/>
      </c>
      <c r="G290" s="20">
        <f>IFERROR(VLOOKUP(E290,Catalogo!$A$2:$H$60,5,FALSE),"")</f>
        <v/>
      </c>
      <c r="H290" s="21" t="n"/>
      <c r="I290" s="20">
        <f>IF(G290="","",G290-H290)</f>
        <v/>
      </c>
      <c r="J290" s="20">
        <f>IF(A290="","",SUMIFS(Pagos!$E:$E,Pagos!$D:$D,A290))</f>
        <v/>
      </c>
      <c r="K290" s="20">
        <f>IF(A290="","",I290-J290)</f>
        <v/>
      </c>
      <c r="L290" s="22">
        <f>IF(B290="","",B290+60)</f>
        <v/>
      </c>
    </row>
    <row r="291">
      <c r="A291" s="18">
        <f>IF(C291="","","V"&amp;TEXT(ROW()-1,"000"))</f>
        <v/>
      </c>
      <c r="B291" s="19" t="n"/>
      <c r="D291" s="18">
        <f>IFERROR(VLOOKUP(C291,Alumnos!$A:$B,2,FALSE),"")</f>
        <v/>
      </c>
      <c r="F291" s="18">
        <f>IFERROR(VLOOKUP(E291,Catalogo!$A$2:$H$60,4,FALSE),"")</f>
        <v/>
      </c>
      <c r="G291" s="20">
        <f>IFERROR(VLOOKUP(E291,Catalogo!$A$2:$H$60,5,FALSE),"")</f>
        <v/>
      </c>
      <c r="H291" s="21" t="n"/>
      <c r="I291" s="20">
        <f>IF(G291="","",G291-H291)</f>
        <v/>
      </c>
      <c r="J291" s="20">
        <f>IF(A291="","",SUMIFS(Pagos!$E:$E,Pagos!$D:$D,A291))</f>
        <v/>
      </c>
      <c r="K291" s="20">
        <f>IF(A291="","",I291-J291)</f>
        <v/>
      </c>
      <c r="L291" s="22">
        <f>IF(B291="","",B291+60)</f>
        <v/>
      </c>
    </row>
    <row r="292">
      <c r="A292" s="18">
        <f>IF(C292="","","V"&amp;TEXT(ROW()-1,"000"))</f>
        <v/>
      </c>
      <c r="B292" s="19" t="n"/>
      <c r="D292" s="18">
        <f>IFERROR(VLOOKUP(C292,Alumnos!$A:$B,2,FALSE),"")</f>
        <v/>
      </c>
      <c r="F292" s="18">
        <f>IFERROR(VLOOKUP(E292,Catalogo!$A$2:$H$60,4,FALSE),"")</f>
        <v/>
      </c>
      <c r="G292" s="20">
        <f>IFERROR(VLOOKUP(E292,Catalogo!$A$2:$H$60,5,FALSE),"")</f>
        <v/>
      </c>
      <c r="H292" s="21" t="n"/>
      <c r="I292" s="20">
        <f>IF(G292="","",G292-H292)</f>
        <v/>
      </c>
      <c r="J292" s="20">
        <f>IF(A292="","",SUMIFS(Pagos!$E:$E,Pagos!$D:$D,A292))</f>
        <v/>
      </c>
      <c r="K292" s="20">
        <f>IF(A292="","",I292-J292)</f>
        <v/>
      </c>
      <c r="L292" s="22">
        <f>IF(B292="","",B292+60)</f>
        <v/>
      </c>
    </row>
    <row r="293">
      <c r="A293" s="18">
        <f>IF(C293="","","V"&amp;TEXT(ROW()-1,"000"))</f>
        <v/>
      </c>
      <c r="B293" s="19" t="n"/>
      <c r="D293" s="18">
        <f>IFERROR(VLOOKUP(C293,Alumnos!$A:$B,2,FALSE),"")</f>
        <v/>
      </c>
      <c r="F293" s="18">
        <f>IFERROR(VLOOKUP(E293,Catalogo!$A$2:$H$60,4,FALSE),"")</f>
        <v/>
      </c>
      <c r="G293" s="20">
        <f>IFERROR(VLOOKUP(E293,Catalogo!$A$2:$H$60,5,FALSE),"")</f>
        <v/>
      </c>
      <c r="H293" s="21" t="n"/>
      <c r="I293" s="20">
        <f>IF(G293="","",G293-H293)</f>
        <v/>
      </c>
      <c r="J293" s="20">
        <f>IF(A293="","",SUMIFS(Pagos!$E:$E,Pagos!$D:$D,A293))</f>
        <v/>
      </c>
      <c r="K293" s="20">
        <f>IF(A293="","",I293-J293)</f>
        <v/>
      </c>
      <c r="L293" s="22">
        <f>IF(B293="","",B293+60)</f>
        <v/>
      </c>
    </row>
    <row r="294">
      <c r="A294" s="18">
        <f>IF(C294="","","V"&amp;TEXT(ROW()-1,"000"))</f>
        <v/>
      </c>
      <c r="B294" s="19" t="n"/>
      <c r="D294" s="18">
        <f>IFERROR(VLOOKUP(C294,Alumnos!$A:$B,2,FALSE),"")</f>
        <v/>
      </c>
      <c r="F294" s="18">
        <f>IFERROR(VLOOKUP(E294,Catalogo!$A$2:$H$60,4,FALSE),"")</f>
        <v/>
      </c>
      <c r="G294" s="20">
        <f>IFERROR(VLOOKUP(E294,Catalogo!$A$2:$H$60,5,FALSE),"")</f>
        <v/>
      </c>
      <c r="H294" s="21" t="n"/>
      <c r="I294" s="20">
        <f>IF(G294="","",G294-H294)</f>
        <v/>
      </c>
      <c r="J294" s="20">
        <f>IF(A294="","",SUMIFS(Pagos!$E:$E,Pagos!$D:$D,A294))</f>
        <v/>
      </c>
      <c r="K294" s="20">
        <f>IF(A294="","",I294-J294)</f>
        <v/>
      </c>
      <c r="L294" s="22">
        <f>IF(B294="","",B294+60)</f>
        <v/>
      </c>
    </row>
    <row r="295">
      <c r="A295" s="18">
        <f>IF(C295="","","V"&amp;TEXT(ROW()-1,"000"))</f>
        <v/>
      </c>
      <c r="B295" s="19" t="n"/>
      <c r="D295" s="18">
        <f>IFERROR(VLOOKUP(C295,Alumnos!$A:$B,2,FALSE),"")</f>
        <v/>
      </c>
      <c r="F295" s="18">
        <f>IFERROR(VLOOKUP(E295,Catalogo!$A$2:$H$60,4,FALSE),"")</f>
        <v/>
      </c>
      <c r="G295" s="20">
        <f>IFERROR(VLOOKUP(E295,Catalogo!$A$2:$H$60,5,FALSE),"")</f>
        <v/>
      </c>
      <c r="H295" s="21" t="n"/>
      <c r="I295" s="20">
        <f>IF(G295="","",G295-H295)</f>
        <v/>
      </c>
      <c r="J295" s="20">
        <f>IF(A295="","",SUMIFS(Pagos!$E:$E,Pagos!$D:$D,A295))</f>
        <v/>
      </c>
      <c r="K295" s="20">
        <f>IF(A295="","",I295-J295)</f>
        <v/>
      </c>
      <c r="L295" s="22">
        <f>IF(B295="","",B295+60)</f>
        <v/>
      </c>
    </row>
    <row r="296">
      <c r="A296" s="18">
        <f>IF(C296="","","V"&amp;TEXT(ROW()-1,"000"))</f>
        <v/>
      </c>
      <c r="B296" s="19" t="n"/>
      <c r="D296" s="18">
        <f>IFERROR(VLOOKUP(C296,Alumnos!$A:$B,2,FALSE),"")</f>
        <v/>
      </c>
      <c r="F296" s="18">
        <f>IFERROR(VLOOKUP(E296,Catalogo!$A$2:$H$60,4,FALSE),"")</f>
        <v/>
      </c>
      <c r="G296" s="20">
        <f>IFERROR(VLOOKUP(E296,Catalogo!$A$2:$H$60,5,FALSE),"")</f>
        <v/>
      </c>
      <c r="H296" s="21" t="n"/>
      <c r="I296" s="20">
        <f>IF(G296="","",G296-H296)</f>
        <v/>
      </c>
      <c r="J296" s="20">
        <f>IF(A296="","",SUMIFS(Pagos!$E:$E,Pagos!$D:$D,A296))</f>
        <v/>
      </c>
      <c r="K296" s="20">
        <f>IF(A296="","",I296-J296)</f>
        <v/>
      </c>
      <c r="L296" s="22">
        <f>IF(B296="","",B296+60)</f>
        <v/>
      </c>
    </row>
    <row r="297">
      <c r="A297" s="18">
        <f>IF(C297="","","V"&amp;TEXT(ROW()-1,"000"))</f>
        <v/>
      </c>
      <c r="B297" s="19" t="n"/>
      <c r="D297" s="18">
        <f>IFERROR(VLOOKUP(C297,Alumnos!$A:$B,2,FALSE),"")</f>
        <v/>
      </c>
      <c r="F297" s="18">
        <f>IFERROR(VLOOKUP(E297,Catalogo!$A$2:$H$60,4,FALSE),"")</f>
        <v/>
      </c>
      <c r="G297" s="20">
        <f>IFERROR(VLOOKUP(E297,Catalogo!$A$2:$H$60,5,FALSE),"")</f>
        <v/>
      </c>
      <c r="H297" s="21" t="n"/>
      <c r="I297" s="20">
        <f>IF(G297="","",G297-H297)</f>
        <v/>
      </c>
      <c r="J297" s="20">
        <f>IF(A297="","",SUMIFS(Pagos!$E:$E,Pagos!$D:$D,A297))</f>
        <v/>
      </c>
      <c r="K297" s="20">
        <f>IF(A297="","",I297-J297)</f>
        <v/>
      </c>
      <c r="L297" s="22">
        <f>IF(B297="","",B297+60)</f>
        <v/>
      </c>
    </row>
    <row r="298">
      <c r="A298" s="18">
        <f>IF(C298="","","V"&amp;TEXT(ROW()-1,"000"))</f>
        <v/>
      </c>
      <c r="B298" s="19" t="n"/>
      <c r="D298" s="18">
        <f>IFERROR(VLOOKUP(C298,Alumnos!$A:$B,2,FALSE),"")</f>
        <v/>
      </c>
      <c r="F298" s="18">
        <f>IFERROR(VLOOKUP(E298,Catalogo!$A$2:$H$60,4,FALSE),"")</f>
        <v/>
      </c>
      <c r="G298" s="20">
        <f>IFERROR(VLOOKUP(E298,Catalogo!$A$2:$H$60,5,FALSE),"")</f>
        <v/>
      </c>
      <c r="H298" s="21" t="n"/>
      <c r="I298" s="20">
        <f>IF(G298="","",G298-H298)</f>
        <v/>
      </c>
      <c r="J298" s="20">
        <f>IF(A298="","",SUMIFS(Pagos!$E:$E,Pagos!$D:$D,A298))</f>
        <v/>
      </c>
      <c r="K298" s="20">
        <f>IF(A298="","",I298-J298)</f>
        <v/>
      </c>
      <c r="L298" s="22">
        <f>IF(B298="","",B298+60)</f>
        <v/>
      </c>
    </row>
    <row r="299">
      <c r="A299" s="18">
        <f>IF(C299="","","V"&amp;TEXT(ROW()-1,"000"))</f>
        <v/>
      </c>
      <c r="B299" s="19" t="n"/>
      <c r="D299" s="18">
        <f>IFERROR(VLOOKUP(C299,Alumnos!$A:$B,2,FALSE),"")</f>
        <v/>
      </c>
      <c r="F299" s="18">
        <f>IFERROR(VLOOKUP(E299,Catalogo!$A$2:$H$60,4,FALSE),"")</f>
        <v/>
      </c>
      <c r="G299" s="20">
        <f>IFERROR(VLOOKUP(E299,Catalogo!$A$2:$H$60,5,FALSE),"")</f>
        <v/>
      </c>
      <c r="H299" s="21" t="n"/>
      <c r="I299" s="20">
        <f>IF(G299="","",G299-H299)</f>
        <v/>
      </c>
      <c r="J299" s="20">
        <f>IF(A299="","",SUMIFS(Pagos!$E:$E,Pagos!$D:$D,A299))</f>
        <v/>
      </c>
      <c r="K299" s="20">
        <f>IF(A299="","",I299-J299)</f>
        <v/>
      </c>
      <c r="L299" s="22">
        <f>IF(B299="","",B299+60)</f>
        <v/>
      </c>
    </row>
    <row r="300">
      <c r="A300" s="18">
        <f>IF(C300="","","V"&amp;TEXT(ROW()-1,"000"))</f>
        <v/>
      </c>
      <c r="B300" s="19" t="n"/>
      <c r="D300" s="18">
        <f>IFERROR(VLOOKUP(C300,Alumnos!$A:$B,2,FALSE),"")</f>
        <v/>
      </c>
      <c r="F300" s="18">
        <f>IFERROR(VLOOKUP(E300,Catalogo!$A$2:$H$60,4,FALSE),"")</f>
        <v/>
      </c>
      <c r="G300" s="20">
        <f>IFERROR(VLOOKUP(E300,Catalogo!$A$2:$H$60,5,FALSE),"")</f>
        <v/>
      </c>
      <c r="H300" s="21" t="n"/>
      <c r="I300" s="20">
        <f>IF(G300="","",G300-H300)</f>
        <v/>
      </c>
      <c r="J300" s="20">
        <f>IF(A300="","",SUMIFS(Pagos!$E:$E,Pagos!$D:$D,A300))</f>
        <v/>
      </c>
      <c r="K300" s="20">
        <f>IF(A300="","",I300-J300)</f>
        <v/>
      </c>
      <c r="L300" s="22">
        <f>IF(B300="","",B300+60)</f>
        <v/>
      </c>
    </row>
    <row r="301">
      <c r="A301" s="18">
        <f>IF(C301="","","V"&amp;TEXT(ROW()-1,"000"))</f>
        <v/>
      </c>
      <c r="B301" s="19" t="n"/>
      <c r="D301" s="18">
        <f>IFERROR(VLOOKUP(C301,Alumnos!$A:$B,2,FALSE),"")</f>
        <v/>
      </c>
      <c r="F301" s="18">
        <f>IFERROR(VLOOKUP(E301,Catalogo!$A$2:$H$60,4,FALSE),"")</f>
        <v/>
      </c>
      <c r="G301" s="20">
        <f>IFERROR(VLOOKUP(E301,Catalogo!$A$2:$H$60,5,FALSE),"")</f>
        <v/>
      </c>
      <c r="H301" s="21" t="n"/>
      <c r="I301" s="20">
        <f>IF(G301="","",G301-H301)</f>
        <v/>
      </c>
      <c r="J301" s="20">
        <f>IF(A301="","",SUMIFS(Pagos!$E:$E,Pagos!$D:$D,A301))</f>
        <v/>
      </c>
      <c r="K301" s="20">
        <f>IF(A301="","",I301-J301)</f>
        <v/>
      </c>
      <c r="L301" s="22">
        <f>IF(B301="","",B301+60)</f>
        <v/>
      </c>
    </row>
    <row r="302">
      <c r="A302" s="18">
        <f>IF(C302="","","V"&amp;TEXT(ROW()-1,"000"))</f>
        <v/>
      </c>
      <c r="B302" s="19" t="n"/>
      <c r="D302" s="18">
        <f>IFERROR(VLOOKUP(C302,Alumnos!$A:$B,2,FALSE),"")</f>
        <v/>
      </c>
      <c r="F302" s="18">
        <f>IFERROR(VLOOKUP(E302,Catalogo!$A$2:$H$60,4,FALSE),"")</f>
        <v/>
      </c>
      <c r="G302" s="20">
        <f>IFERROR(VLOOKUP(E302,Catalogo!$A$2:$H$60,5,FALSE),"")</f>
        <v/>
      </c>
      <c r="H302" s="21" t="n"/>
      <c r="I302" s="20">
        <f>IF(G302="","",G302-H302)</f>
        <v/>
      </c>
      <c r="J302" s="20">
        <f>IF(A302="","",SUMIFS(Pagos!$E:$E,Pagos!$D:$D,A302))</f>
        <v/>
      </c>
      <c r="K302" s="20">
        <f>IF(A302="","",I302-J302)</f>
        <v/>
      </c>
      <c r="L302" s="22">
        <f>IF(B302="","",B302+60)</f>
        <v/>
      </c>
    </row>
    <row r="303">
      <c r="A303" s="18">
        <f>IF(C303="","","V"&amp;TEXT(ROW()-1,"000"))</f>
        <v/>
      </c>
      <c r="B303" s="19" t="n"/>
      <c r="D303" s="18">
        <f>IFERROR(VLOOKUP(C303,Alumnos!$A:$B,2,FALSE),"")</f>
        <v/>
      </c>
      <c r="F303" s="18">
        <f>IFERROR(VLOOKUP(E303,Catalogo!$A$2:$H$60,4,FALSE),"")</f>
        <v/>
      </c>
      <c r="G303" s="20">
        <f>IFERROR(VLOOKUP(E303,Catalogo!$A$2:$H$60,5,FALSE),"")</f>
        <v/>
      </c>
      <c r="H303" s="21" t="n"/>
      <c r="I303" s="20">
        <f>IF(G303="","",G303-H303)</f>
        <v/>
      </c>
      <c r="J303" s="20">
        <f>IF(A303="","",SUMIFS(Pagos!$E:$E,Pagos!$D:$D,A303))</f>
        <v/>
      </c>
      <c r="K303" s="20">
        <f>IF(A303="","",I303-J303)</f>
        <v/>
      </c>
      <c r="L303" s="22">
        <f>IF(B303="","",B303+60)</f>
        <v/>
      </c>
    </row>
    <row r="304">
      <c r="A304" s="18">
        <f>IF(C304="","","V"&amp;TEXT(ROW()-1,"000"))</f>
        <v/>
      </c>
      <c r="B304" s="19" t="n"/>
      <c r="D304" s="18">
        <f>IFERROR(VLOOKUP(C304,Alumnos!$A:$B,2,FALSE),"")</f>
        <v/>
      </c>
      <c r="F304" s="18">
        <f>IFERROR(VLOOKUP(E304,Catalogo!$A$2:$H$60,4,FALSE),"")</f>
        <v/>
      </c>
      <c r="G304" s="20">
        <f>IFERROR(VLOOKUP(E304,Catalogo!$A$2:$H$60,5,FALSE),"")</f>
        <v/>
      </c>
      <c r="H304" s="21" t="n"/>
      <c r="I304" s="20">
        <f>IF(G304="","",G304-H304)</f>
        <v/>
      </c>
      <c r="J304" s="20">
        <f>IF(A304="","",SUMIFS(Pagos!$E:$E,Pagos!$D:$D,A304))</f>
        <v/>
      </c>
      <c r="K304" s="20">
        <f>IF(A304="","",I304-J304)</f>
        <v/>
      </c>
      <c r="L304" s="22">
        <f>IF(B304="","",B304+60)</f>
        <v/>
      </c>
    </row>
    <row r="305">
      <c r="A305" s="18">
        <f>IF(C305="","","V"&amp;TEXT(ROW()-1,"000"))</f>
        <v/>
      </c>
      <c r="B305" s="19" t="n"/>
      <c r="D305" s="18">
        <f>IFERROR(VLOOKUP(C305,Alumnos!$A:$B,2,FALSE),"")</f>
        <v/>
      </c>
      <c r="F305" s="18">
        <f>IFERROR(VLOOKUP(E305,Catalogo!$A$2:$H$60,4,FALSE),"")</f>
        <v/>
      </c>
      <c r="G305" s="20">
        <f>IFERROR(VLOOKUP(E305,Catalogo!$A$2:$H$60,5,FALSE),"")</f>
        <v/>
      </c>
      <c r="H305" s="21" t="n"/>
      <c r="I305" s="20">
        <f>IF(G305="","",G305-H305)</f>
        <v/>
      </c>
      <c r="J305" s="20">
        <f>IF(A305="","",SUMIFS(Pagos!$E:$E,Pagos!$D:$D,A305))</f>
        <v/>
      </c>
      <c r="K305" s="20">
        <f>IF(A305="","",I305-J305)</f>
        <v/>
      </c>
      <c r="L305" s="22">
        <f>IF(B305="","",B305+60)</f>
        <v/>
      </c>
    </row>
    <row r="306">
      <c r="A306" s="18">
        <f>IF(C306="","","V"&amp;TEXT(ROW()-1,"000"))</f>
        <v/>
      </c>
      <c r="B306" s="19" t="n"/>
      <c r="D306" s="18">
        <f>IFERROR(VLOOKUP(C306,Alumnos!$A:$B,2,FALSE),"")</f>
        <v/>
      </c>
      <c r="F306" s="18">
        <f>IFERROR(VLOOKUP(E306,Catalogo!$A$2:$H$60,4,FALSE),"")</f>
        <v/>
      </c>
      <c r="G306" s="20">
        <f>IFERROR(VLOOKUP(E306,Catalogo!$A$2:$H$60,5,FALSE),"")</f>
        <v/>
      </c>
      <c r="H306" s="21" t="n"/>
      <c r="I306" s="20">
        <f>IF(G306="","",G306-H306)</f>
        <v/>
      </c>
      <c r="J306" s="20">
        <f>IF(A306="","",SUMIFS(Pagos!$E:$E,Pagos!$D:$D,A306))</f>
        <v/>
      </c>
      <c r="K306" s="20">
        <f>IF(A306="","",I306-J306)</f>
        <v/>
      </c>
      <c r="L306" s="22">
        <f>IF(B306="","",B306+60)</f>
        <v/>
      </c>
    </row>
    <row r="307">
      <c r="A307" s="18">
        <f>IF(C307="","","V"&amp;TEXT(ROW()-1,"000"))</f>
        <v/>
      </c>
      <c r="B307" s="19" t="n"/>
      <c r="D307" s="18">
        <f>IFERROR(VLOOKUP(C307,Alumnos!$A:$B,2,FALSE),"")</f>
        <v/>
      </c>
      <c r="F307" s="18">
        <f>IFERROR(VLOOKUP(E307,Catalogo!$A$2:$H$60,4,FALSE),"")</f>
        <v/>
      </c>
      <c r="G307" s="20">
        <f>IFERROR(VLOOKUP(E307,Catalogo!$A$2:$H$60,5,FALSE),"")</f>
        <v/>
      </c>
      <c r="H307" s="21" t="n"/>
      <c r="I307" s="20">
        <f>IF(G307="","",G307-H307)</f>
        <v/>
      </c>
      <c r="J307" s="20">
        <f>IF(A307="","",SUMIFS(Pagos!$E:$E,Pagos!$D:$D,A307))</f>
        <v/>
      </c>
      <c r="K307" s="20">
        <f>IF(A307="","",I307-J307)</f>
        <v/>
      </c>
      <c r="L307" s="22">
        <f>IF(B307="","",B307+60)</f>
        <v/>
      </c>
    </row>
    <row r="308">
      <c r="A308" s="18">
        <f>IF(C308="","","V"&amp;TEXT(ROW()-1,"000"))</f>
        <v/>
      </c>
      <c r="B308" s="19" t="n"/>
      <c r="D308" s="18">
        <f>IFERROR(VLOOKUP(C308,Alumnos!$A:$B,2,FALSE),"")</f>
        <v/>
      </c>
      <c r="F308" s="18">
        <f>IFERROR(VLOOKUP(E308,Catalogo!$A$2:$H$60,4,FALSE),"")</f>
        <v/>
      </c>
      <c r="G308" s="20">
        <f>IFERROR(VLOOKUP(E308,Catalogo!$A$2:$H$60,5,FALSE),"")</f>
        <v/>
      </c>
      <c r="H308" s="21" t="n"/>
      <c r="I308" s="20">
        <f>IF(G308="","",G308-H308)</f>
        <v/>
      </c>
      <c r="J308" s="20">
        <f>IF(A308="","",SUMIFS(Pagos!$E:$E,Pagos!$D:$D,A308))</f>
        <v/>
      </c>
      <c r="K308" s="20">
        <f>IF(A308="","",I308-J308)</f>
        <v/>
      </c>
      <c r="L308" s="22">
        <f>IF(B308="","",B308+60)</f>
        <v/>
      </c>
    </row>
    <row r="309">
      <c r="A309" s="18">
        <f>IF(C309="","","V"&amp;TEXT(ROW()-1,"000"))</f>
        <v/>
      </c>
      <c r="B309" s="19" t="n"/>
      <c r="D309" s="18">
        <f>IFERROR(VLOOKUP(C309,Alumnos!$A:$B,2,FALSE),"")</f>
        <v/>
      </c>
      <c r="F309" s="18">
        <f>IFERROR(VLOOKUP(E309,Catalogo!$A$2:$H$60,4,FALSE),"")</f>
        <v/>
      </c>
      <c r="G309" s="20">
        <f>IFERROR(VLOOKUP(E309,Catalogo!$A$2:$H$60,5,FALSE),"")</f>
        <v/>
      </c>
      <c r="H309" s="21" t="n"/>
      <c r="I309" s="20">
        <f>IF(G309="","",G309-H309)</f>
        <v/>
      </c>
      <c r="J309" s="20">
        <f>IF(A309="","",SUMIFS(Pagos!$E:$E,Pagos!$D:$D,A309))</f>
        <v/>
      </c>
      <c r="K309" s="20">
        <f>IF(A309="","",I309-J309)</f>
        <v/>
      </c>
      <c r="L309" s="22">
        <f>IF(B309="","",B309+60)</f>
        <v/>
      </c>
    </row>
    <row r="310">
      <c r="A310" s="18">
        <f>IF(C310="","","V"&amp;TEXT(ROW()-1,"000"))</f>
        <v/>
      </c>
      <c r="B310" s="19" t="n"/>
      <c r="D310" s="18">
        <f>IFERROR(VLOOKUP(C310,Alumnos!$A:$B,2,FALSE),"")</f>
        <v/>
      </c>
      <c r="F310" s="18">
        <f>IFERROR(VLOOKUP(E310,Catalogo!$A$2:$H$60,4,FALSE),"")</f>
        <v/>
      </c>
      <c r="G310" s="20">
        <f>IFERROR(VLOOKUP(E310,Catalogo!$A$2:$H$60,5,FALSE),"")</f>
        <v/>
      </c>
      <c r="H310" s="21" t="n"/>
      <c r="I310" s="20">
        <f>IF(G310="","",G310-H310)</f>
        <v/>
      </c>
      <c r="J310" s="20">
        <f>IF(A310="","",SUMIFS(Pagos!$E:$E,Pagos!$D:$D,A310))</f>
        <v/>
      </c>
      <c r="K310" s="20">
        <f>IF(A310="","",I310-J310)</f>
        <v/>
      </c>
      <c r="L310" s="22">
        <f>IF(B310="","",B310+60)</f>
        <v/>
      </c>
    </row>
    <row r="311">
      <c r="A311" s="18">
        <f>IF(C311="","","V"&amp;TEXT(ROW()-1,"000"))</f>
        <v/>
      </c>
      <c r="B311" s="19" t="n"/>
      <c r="D311" s="18">
        <f>IFERROR(VLOOKUP(C311,Alumnos!$A:$B,2,FALSE),"")</f>
        <v/>
      </c>
      <c r="F311" s="18">
        <f>IFERROR(VLOOKUP(E311,Catalogo!$A$2:$H$60,4,FALSE),"")</f>
        <v/>
      </c>
      <c r="G311" s="20">
        <f>IFERROR(VLOOKUP(E311,Catalogo!$A$2:$H$60,5,FALSE),"")</f>
        <v/>
      </c>
      <c r="H311" s="21" t="n"/>
      <c r="I311" s="20">
        <f>IF(G311="","",G311-H311)</f>
        <v/>
      </c>
      <c r="J311" s="20">
        <f>IF(A311="","",SUMIFS(Pagos!$E:$E,Pagos!$D:$D,A311))</f>
        <v/>
      </c>
      <c r="K311" s="20">
        <f>IF(A311="","",I311-J311)</f>
        <v/>
      </c>
      <c r="L311" s="22">
        <f>IF(B311="","",B311+60)</f>
        <v/>
      </c>
    </row>
    <row r="312">
      <c r="A312" s="18">
        <f>IF(C312="","","V"&amp;TEXT(ROW()-1,"000"))</f>
        <v/>
      </c>
      <c r="B312" s="19" t="n"/>
      <c r="D312" s="18">
        <f>IFERROR(VLOOKUP(C312,Alumnos!$A:$B,2,FALSE),"")</f>
        <v/>
      </c>
      <c r="F312" s="18">
        <f>IFERROR(VLOOKUP(E312,Catalogo!$A$2:$H$60,4,FALSE),"")</f>
        <v/>
      </c>
      <c r="G312" s="20">
        <f>IFERROR(VLOOKUP(E312,Catalogo!$A$2:$H$60,5,FALSE),"")</f>
        <v/>
      </c>
      <c r="H312" s="21" t="n"/>
      <c r="I312" s="20">
        <f>IF(G312="","",G312-H312)</f>
        <v/>
      </c>
      <c r="J312" s="20">
        <f>IF(A312="","",SUMIFS(Pagos!$E:$E,Pagos!$D:$D,A312))</f>
        <v/>
      </c>
      <c r="K312" s="20">
        <f>IF(A312="","",I312-J312)</f>
        <v/>
      </c>
      <c r="L312" s="22">
        <f>IF(B312="","",B312+60)</f>
        <v/>
      </c>
    </row>
    <row r="313">
      <c r="A313" s="18">
        <f>IF(C313="","","V"&amp;TEXT(ROW()-1,"000"))</f>
        <v/>
      </c>
      <c r="B313" s="19" t="n"/>
      <c r="D313" s="18">
        <f>IFERROR(VLOOKUP(C313,Alumnos!$A:$B,2,FALSE),"")</f>
        <v/>
      </c>
      <c r="F313" s="18">
        <f>IFERROR(VLOOKUP(E313,Catalogo!$A$2:$H$60,4,FALSE),"")</f>
        <v/>
      </c>
      <c r="G313" s="20">
        <f>IFERROR(VLOOKUP(E313,Catalogo!$A$2:$H$60,5,FALSE),"")</f>
        <v/>
      </c>
      <c r="H313" s="21" t="n"/>
      <c r="I313" s="20">
        <f>IF(G313="","",G313-H313)</f>
        <v/>
      </c>
      <c r="J313" s="20">
        <f>IF(A313="","",SUMIFS(Pagos!$E:$E,Pagos!$D:$D,A313))</f>
        <v/>
      </c>
      <c r="K313" s="20">
        <f>IF(A313="","",I313-J313)</f>
        <v/>
      </c>
      <c r="L313" s="22">
        <f>IF(B313="","",B313+60)</f>
        <v/>
      </c>
    </row>
    <row r="314">
      <c r="A314" s="18">
        <f>IF(C314="","","V"&amp;TEXT(ROW()-1,"000"))</f>
        <v/>
      </c>
      <c r="B314" s="19" t="n"/>
      <c r="D314" s="18">
        <f>IFERROR(VLOOKUP(C314,Alumnos!$A:$B,2,FALSE),"")</f>
        <v/>
      </c>
      <c r="F314" s="18">
        <f>IFERROR(VLOOKUP(E314,Catalogo!$A$2:$H$60,4,FALSE),"")</f>
        <v/>
      </c>
      <c r="G314" s="20">
        <f>IFERROR(VLOOKUP(E314,Catalogo!$A$2:$H$60,5,FALSE),"")</f>
        <v/>
      </c>
      <c r="H314" s="21" t="n"/>
      <c r="I314" s="20">
        <f>IF(G314="","",G314-H314)</f>
        <v/>
      </c>
      <c r="J314" s="20">
        <f>IF(A314="","",SUMIFS(Pagos!$E:$E,Pagos!$D:$D,A314))</f>
        <v/>
      </c>
      <c r="K314" s="20">
        <f>IF(A314="","",I314-J314)</f>
        <v/>
      </c>
      <c r="L314" s="22">
        <f>IF(B314="","",B314+60)</f>
        <v/>
      </c>
    </row>
    <row r="315">
      <c r="A315" s="18">
        <f>IF(C315="","","V"&amp;TEXT(ROW()-1,"000"))</f>
        <v/>
      </c>
      <c r="B315" s="19" t="n"/>
      <c r="D315" s="18">
        <f>IFERROR(VLOOKUP(C315,Alumnos!$A:$B,2,FALSE),"")</f>
        <v/>
      </c>
      <c r="F315" s="18">
        <f>IFERROR(VLOOKUP(E315,Catalogo!$A$2:$H$60,4,FALSE),"")</f>
        <v/>
      </c>
      <c r="G315" s="20">
        <f>IFERROR(VLOOKUP(E315,Catalogo!$A$2:$H$60,5,FALSE),"")</f>
        <v/>
      </c>
      <c r="H315" s="21" t="n"/>
      <c r="I315" s="20">
        <f>IF(G315="","",G315-H315)</f>
        <v/>
      </c>
      <c r="J315" s="20">
        <f>IF(A315="","",SUMIFS(Pagos!$E:$E,Pagos!$D:$D,A315))</f>
        <v/>
      </c>
      <c r="K315" s="20">
        <f>IF(A315="","",I315-J315)</f>
        <v/>
      </c>
      <c r="L315" s="22">
        <f>IF(B315="","",B315+60)</f>
        <v/>
      </c>
    </row>
    <row r="316">
      <c r="A316" s="18">
        <f>IF(C316="","","V"&amp;TEXT(ROW()-1,"000"))</f>
        <v/>
      </c>
      <c r="B316" s="19" t="n"/>
      <c r="D316" s="18">
        <f>IFERROR(VLOOKUP(C316,Alumnos!$A:$B,2,FALSE),"")</f>
        <v/>
      </c>
      <c r="F316" s="18">
        <f>IFERROR(VLOOKUP(E316,Catalogo!$A$2:$H$60,4,FALSE),"")</f>
        <v/>
      </c>
      <c r="G316" s="20">
        <f>IFERROR(VLOOKUP(E316,Catalogo!$A$2:$H$60,5,FALSE),"")</f>
        <v/>
      </c>
      <c r="H316" s="21" t="n"/>
      <c r="I316" s="20">
        <f>IF(G316="","",G316-H316)</f>
        <v/>
      </c>
      <c r="J316" s="20">
        <f>IF(A316="","",SUMIFS(Pagos!$E:$E,Pagos!$D:$D,A316))</f>
        <v/>
      </c>
      <c r="K316" s="20">
        <f>IF(A316="","",I316-J316)</f>
        <v/>
      </c>
      <c r="L316" s="22">
        <f>IF(B316="","",B316+60)</f>
        <v/>
      </c>
    </row>
    <row r="317">
      <c r="A317" s="18">
        <f>IF(C317="","","V"&amp;TEXT(ROW()-1,"000"))</f>
        <v/>
      </c>
      <c r="B317" s="19" t="n"/>
      <c r="D317" s="18">
        <f>IFERROR(VLOOKUP(C317,Alumnos!$A:$B,2,FALSE),"")</f>
        <v/>
      </c>
      <c r="F317" s="18">
        <f>IFERROR(VLOOKUP(E317,Catalogo!$A$2:$H$60,4,FALSE),"")</f>
        <v/>
      </c>
      <c r="G317" s="20">
        <f>IFERROR(VLOOKUP(E317,Catalogo!$A$2:$H$60,5,FALSE),"")</f>
        <v/>
      </c>
      <c r="H317" s="21" t="n"/>
      <c r="I317" s="20">
        <f>IF(G317="","",G317-H317)</f>
        <v/>
      </c>
      <c r="J317" s="20">
        <f>IF(A317="","",SUMIFS(Pagos!$E:$E,Pagos!$D:$D,A317))</f>
        <v/>
      </c>
      <c r="K317" s="20">
        <f>IF(A317="","",I317-J317)</f>
        <v/>
      </c>
      <c r="L317" s="22">
        <f>IF(B317="","",B317+60)</f>
        <v/>
      </c>
    </row>
    <row r="318">
      <c r="A318" s="18">
        <f>IF(C318="","","V"&amp;TEXT(ROW()-1,"000"))</f>
        <v/>
      </c>
      <c r="B318" s="19" t="n"/>
      <c r="D318" s="18">
        <f>IFERROR(VLOOKUP(C318,Alumnos!$A:$B,2,FALSE),"")</f>
        <v/>
      </c>
      <c r="F318" s="18">
        <f>IFERROR(VLOOKUP(E318,Catalogo!$A$2:$H$60,4,FALSE),"")</f>
        <v/>
      </c>
      <c r="G318" s="20">
        <f>IFERROR(VLOOKUP(E318,Catalogo!$A$2:$H$60,5,FALSE),"")</f>
        <v/>
      </c>
      <c r="H318" s="21" t="n"/>
      <c r="I318" s="20">
        <f>IF(G318="","",G318-H318)</f>
        <v/>
      </c>
      <c r="J318" s="20">
        <f>IF(A318="","",SUMIFS(Pagos!$E:$E,Pagos!$D:$D,A318))</f>
        <v/>
      </c>
      <c r="K318" s="20">
        <f>IF(A318="","",I318-J318)</f>
        <v/>
      </c>
      <c r="L318" s="22">
        <f>IF(B318="","",B318+60)</f>
        <v/>
      </c>
    </row>
    <row r="319">
      <c r="A319" s="18">
        <f>IF(C319="","","V"&amp;TEXT(ROW()-1,"000"))</f>
        <v/>
      </c>
      <c r="B319" s="19" t="n"/>
      <c r="D319" s="18">
        <f>IFERROR(VLOOKUP(C319,Alumnos!$A:$B,2,FALSE),"")</f>
        <v/>
      </c>
      <c r="F319" s="18">
        <f>IFERROR(VLOOKUP(E319,Catalogo!$A$2:$H$60,4,FALSE),"")</f>
        <v/>
      </c>
      <c r="G319" s="20">
        <f>IFERROR(VLOOKUP(E319,Catalogo!$A$2:$H$60,5,FALSE),"")</f>
        <v/>
      </c>
      <c r="H319" s="21" t="n"/>
      <c r="I319" s="20">
        <f>IF(G319="","",G319-H319)</f>
        <v/>
      </c>
      <c r="J319" s="20">
        <f>IF(A319="","",SUMIFS(Pagos!$E:$E,Pagos!$D:$D,A319))</f>
        <v/>
      </c>
      <c r="K319" s="20">
        <f>IF(A319="","",I319-J319)</f>
        <v/>
      </c>
      <c r="L319" s="22">
        <f>IF(B319="","",B319+60)</f>
        <v/>
      </c>
    </row>
    <row r="320">
      <c r="A320" s="18">
        <f>IF(C320="","","V"&amp;TEXT(ROW()-1,"000"))</f>
        <v/>
      </c>
      <c r="B320" s="19" t="n"/>
      <c r="D320" s="18">
        <f>IFERROR(VLOOKUP(C320,Alumnos!$A:$B,2,FALSE),"")</f>
        <v/>
      </c>
      <c r="F320" s="18">
        <f>IFERROR(VLOOKUP(E320,Catalogo!$A$2:$H$60,4,FALSE),"")</f>
        <v/>
      </c>
      <c r="G320" s="20">
        <f>IFERROR(VLOOKUP(E320,Catalogo!$A$2:$H$60,5,FALSE),"")</f>
        <v/>
      </c>
      <c r="H320" s="21" t="n"/>
      <c r="I320" s="20">
        <f>IF(G320="","",G320-H320)</f>
        <v/>
      </c>
      <c r="J320" s="20">
        <f>IF(A320="","",SUMIFS(Pagos!$E:$E,Pagos!$D:$D,A320))</f>
        <v/>
      </c>
      <c r="K320" s="20">
        <f>IF(A320="","",I320-J320)</f>
        <v/>
      </c>
      <c r="L320" s="22">
        <f>IF(B320="","",B320+60)</f>
        <v/>
      </c>
    </row>
    <row r="321">
      <c r="A321" s="18">
        <f>IF(C321="","","V"&amp;TEXT(ROW()-1,"000"))</f>
        <v/>
      </c>
      <c r="B321" s="19" t="n"/>
      <c r="D321" s="18">
        <f>IFERROR(VLOOKUP(C321,Alumnos!$A:$B,2,FALSE),"")</f>
        <v/>
      </c>
      <c r="F321" s="18">
        <f>IFERROR(VLOOKUP(E321,Catalogo!$A$2:$H$60,4,FALSE),"")</f>
        <v/>
      </c>
      <c r="G321" s="20">
        <f>IFERROR(VLOOKUP(E321,Catalogo!$A$2:$H$60,5,FALSE),"")</f>
        <v/>
      </c>
      <c r="H321" s="21" t="n"/>
      <c r="I321" s="20">
        <f>IF(G321="","",G321-H321)</f>
        <v/>
      </c>
      <c r="J321" s="20">
        <f>IF(A321="","",SUMIFS(Pagos!$E:$E,Pagos!$D:$D,A321))</f>
        <v/>
      </c>
      <c r="K321" s="20">
        <f>IF(A321="","",I321-J321)</f>
        <v/>
      </c>
      <c r="L321" s="22">
        <f>IF(B321="","",B321+60)</f>
        <v/>
      </c>
    </row>
    <row r="322">
      <c r="A322" s="18">
        <f>IF(C322="","","V"&amp;TEXT(ROW()-1,"000"))</f>
        <v/>
      </c>
      <c r="B322" s="19" t="n"/>
      <c r="D322" s="18">
        <f>IFERROR(VLOOKUP(C322,Alumnos!$A:$B,2,FALSE),"")</f>
        <v/>
      </c>
      <c r="F322" s="18">
        <f>IFERROR(VLOOKUP(E322,Catalogo!$A$2:$H$60,4,FALSE),"")</f>
        <v/>
      </c>
      <c r="G322" s="20">
        <f>IFERROR(VLOOKUP(E322,Catalogo!$A$2:$H$60,5,FALSE),"")</f>
        <v/>
      </c>
      <c r="H322" s="21" t="n"/>
      <c r="I322" s="20">
        <f>IF(G322="","",G322-H322)</f>
        <v/>
      </c>
      <c r="J322" s="20">
        <f>IF(A322="","",SUMIFS(Pagos!$E:$E,Pagos!$D:$D,A322))</f>
        <v/>
      </c>
      <c r="K322" s="20">
        <f>IF(A322="","",I322-J322)</f>
        <v/>
      </c>
      <c r="L322" s="22">
        <f>IF(B322="","",B322+60)</f>
        <v/>
      </c>
    </row>
    <row r="323">
      <c r="A323" s="18">
        <f>IF(C323="","","V"&amp;TEXT(ROW()-1,"000"))</f>
        <v/>
      </c>
      <c r="B323" s="19" t="n"/>
      <c r="D323" s="18">
        <f>IFERROR(VLOOKUP(C323,Alumnos!$A:$B,2,FALSE),"")</f>
        <v/>
      </c>
      <c r="F323" s="18">
        <f>IFERROR(VLOOKUP(E323,Catalogo!$A$2:$H$60,4,FALSE),"")</f>
        <v/>
      </c>
      <c r="G323" s="20">
        <f>IFERROR(VLOOKUP(E323,Catalogo!$A$2:$H$60,5,FALSE),"")</f>
        <v/>
      </c>
      <c r="H323" s="21" t="n"/>
      <c r="I323" s="20">
        <f>IF(G323="","",G323-H323)</f>
        <v/>
      </c>
      <c r="J323" s="20">
        <f>IF(A323="","",SUMIFS(Pagos!$E:$E,Pagos!$D:$D,A323))</f>
        <v/>
      </c>
      <c r="K323" s="20">
        <f>IF(A323="","",I323-J323)</f>
        <v/>
      </c>
      <c r="L323" s="22">
        <f>IF(B323="","",B323+60)</f>
        <v/>
      </c>
    </row>
    <row r="324">
      <c r="A324" s="18">
        <f>IF(C324="","","V"&amp;TEXT(ROW()-1,"000"))</f>
        <v/>
      </c>
      <c r="B324" s="19" t="n"/>
      <c r="D324" s="18">
        <f>IFERROR(VLOOKUP(C324,Alumnos!$A:$B,2,FALSE),"")</f>
        <v/>
      </c>
      <c r="F324" s="18">
        <f>IFERROR(VLOOKUP(E324,Catalogo!$A$2:$H$60,4,FALSE),"")</f>
        <v/>
      </c>
      <c r="G324" s="20">
        <f>IFERROR(VLOOKUP(E324,Catalogo!$A$2:$H$60,5,FALSE),"")</f>
        <v/>
      </c>
      <c r="H324" s="21" t="n"/>
      <c r="I324" s="20">
        <f>IF(G324="","",G324-H324)</f>
        <v/>
      </c>
      <c r="J324" s="20">
        <f>IF(A324="","",SUMIFS(Pagos!$E:$E,Pagos!$D:$D,A324))</f>
        <v/>
      </c>
      <c r="K324" s="20">
        <f>IF(A324="","",I324-J324)</f>
        <v/>
      </c>
      <c r="L324" s="22">
        <f>IF(B324="","",B324+60)</f>
        <v/>
      </c>
    </row>
    <row r="325">
      <c r="A325" s="18">
        <f>IF(C325="","","V"&amp;TEXT(ROW()-1,"000"))</f>
        <v/>
      </c>
      <c r="B325" s="19" t="n"/>
      <c r="D325" s="18">
        <f>IFERROR(VLOOKUP(C325,Alumnos!$A:$B,2,FALSE),"")</f>
        <v/>
      </c>
      <c r="F325" s="18">
        <f>IFERROR(VLOOKUP(E325,Catalogo!$A$2:$H$60,4,FALSE),"")</f>
        <v/>
      </c>
      <c r="G325" s="20">
        <f>IFERROR(VLOOKUP(E325,Catalogo!$A$2:$H$60,5,FALSE),"")</f>
        <v/>
      </c>
      <c r="H325" s="21" t="n"/>
      <c r="I325" s="20">
        <f>IF(G325="","",G325-H325)</f>
        <v/>
      </c>
      <c r="J325" s="20">
        <f>IF(A325="","",SUMIFS(Pagos!$E:$E,Pagos!$D:$D,A325))</f>
        <v/>
      </c>
      <c r="K325" s="20">
        <f>IF(A325="","",I325-J325)</f>
        <v/>
      </c>
      <c r="L325" s="22">
        <f>IF(B325="","",B325+60)</f>
        <v/>
      </c>
    </row>
    <row r="326">
      <c r="A326" s="18">
        <f>IF(C326="","","V"&amp;TEXT(ROW()-1,"000"))</f>
        <v/>
      </c>
      <c r="B326" s="19" t="n"/>
      <c r="D326" s="18">
        <f>IFERROR(VLOOKUP(C326,Alumnos!$A:$B,2,FALSE),"")</f>
        <v/>
      </c>
      <c r="F326" s="18">
        <f>IFERROR(VLOOKUP(E326,Catalogo!$A$2:$H$60,4,FALSE),"")</f>
        <v/>
      </c>
      <c r="G326" s="20">
        <f>IFERROR(VLOOKUP(E326,Catalogo!$A$2:$H$60,5,FALSE),"")</f>
        <v/>
      </c>
      <c r="H326" s="21" t="n"/>
      <c r="I326" s="20">
        <f>IF(G326="","",G326-H326)</f>
        <v/>
      </c>
      <c r="J326" s="20">
        <f>IF(A326="","",SUMIFS(Pagos!$E:$E,Pagos!$D:$D,A326))</f>
        <v/>
      </c>
      <c r="K326" s="20">
        <f>IF(A326="","",I326-J326)</f>
        <v/>
      </c>
      <c r="L326" s="22">
        <f>IF(B326="","",B326+60)</f>
        <v/>
      </c>
    </row>
    <row r="327">
      <c r="A327" s="18">
        <f>IF(C327="","","V"&amp;TEXT(ROW()-1,"000"))</f>
        <v/>
      </c>
      <c r="B327" s="19" t="n"/>
      <c r="D327" s="18">
        <f>IFERROR(VLOOKUP(C327,Alumnos!$A:$B,2,FALSE),"")</f>
        <v/>
      </c>
      <c r="F327" s="18">
        <f>IFERROR(VLOOKUP(E327,Catalogo!$A$2:$H$60,4,FALSE),"")</f>
        <v/>
      </c>
      <c r="G327" s="20">
        <f>IFERROR(VLOOKUP(E327,Catalogo!$A$2:$H$60,5,FALSE),"")</f>
        <v/>
      </c>
      <c r="H327" s="21" t="n"/>
      <c r="I327" s="20">
        <f>IF(G327="","",G327-H327)</f>
        <v/>
      </c>
      <c r="J327" s="20">
        <f>IF(A327="","",SUMIFS(Pagos!$E:$E,Pagos!$D:$D,A327))</f>
        <v/>
      </c>
      <c r="K327" s="20">
        <f>IF(A327="","",I327-J327)</f>
        <v/>
      </c>
      <c r="L327" s="22">
        <f>IF(B327="","",B327+60)</f>
        <v/>
      </c>
    </row>
    <row r="328">
      <c r="A328" s="18">
        <f>IF(C328="","","V"&amp;TEXT(ROW()-1,"000"))</f>
        <v/>
      </c>
      <c r="B328" s="19" t="n"/>
      <c r="D328" s="18">
        <f>IFERROR(VLOOKUP(C328,Alumnos!$A:$B,2,FALSE),"")</f>
        <v/>
      </c>
      <c r="F328" s="18">
        <f>IFERROR(VLOOKUP(E328,Catalogo!$A$2:$H$60,4,FALSE),"")</f>
        <v/>
      </c>
      <c r="G328" s="20">
        <f>IFERROR(VLOOKUP(E328,Catalogo!$A$2:$H$60,5,FALSE),"")</f>
        <v/>
      </c>
      <c r="H328" s="21" t="n"/>
      <c r="I328" s="20">
        <f>IF(G328="","",G328-H328)</f>
        <v/>
      </c>
      <c r="J328" s="20">
        <f>IF(A328="","",SUMIFS(Pagos!$E:$E,Pagos!$D:$D,A328))</f>
        <v/>
      </c>
      <c r="K328" s="20">
        <f>IF(A328="","",I328-J328)</f>
        <v/>
      </c>
      <c r="L328" s="22">
        <f>IF(B328="","",B328+60)</f>
        <v/>
      </c>
    </row>
    <row r="329">
      <c r="A329" s="18">
        <f>IF(C329="","","V"&amp;TEXT(ROW()-1,"000"))</f>
        <v/>
      </c>
      <c r="B329" s="19" t="n"/>
      <c r="D329" s="18">
        <f>IFERROR(VLOOKUP(C329,Alumnos!$A:$B,2,FALSE),"")</f>
        <v/>
      </c>
      <c r="F329" s="18">
        <f>IFERROR(VLOOKUP(E329,Catalogo!$A$2:$H$60,4,FALSE),"")</f>
        <v/>
      </c>
      <c r="G329" s="20">
        <f>IFERROR(VLOOKUP(E329,Catalogo!$A$2:$H$60,5,FALSE),"")</f>
        <v/>
      </c>
      <c r="H329" s="21" t="n"/>
      <c r="I329" s="20">
        <f>IF(G329="","",G329-H329)</f>
        <v/>
      </c>
      <c r="J329" s="20">
        <f>IF(A329="","",SUMIFS(Pagos!$E:$E,Pagos!$D:$D,A329))</f>
        <v/>
      </c>
      <c r="K329" s="20">
        <f>IF(A329="","",I329-J329)</f>
        <v/>
      </c>
      <c r="L329" s="22">
        <f>IF(B329="","",B329+60)</f>
        <v/>
      </c>
    </row>
    <row r="330">
      <c r="A330" s="18">
        <f>IF(C330="","","V"&amp;TEXT(ROW()-1,"000"))</f>
        <v/>
      </c>
      <c r="B330" s="19" t="n"/>
      <c r="D330" s="18">
        <f>IFERROR(VLOOKUP(C330,Alumnos!$A:$B,2,FALSE),"")</f>
        <v/>
      </c>
      <c r="F330" s="18">
        <f>IFERROR(VLOOKUP(E330,Catalogo!$A$2:$H$60,4,FALSE),"")</f>
        <v/>
      </c>
      <c r="G330" s="20">
        <f>IFERROR(VLOOKUP(E330,Catalogo!$A$2:$H$60,5,FALSE),"")</f>
        <v/>
      </c>
      <c r="H330" s="21" t="n"/>
      <c r="I330" s="20">
        <f>IF(G330="","",G330-H330)</f>
        <v/>
      </c>
      <c r="J330" s="20">
        <f>IF(A330="","",SUMIFS(Pagos!$E:$E,Pagos!$D:$D,A330))</f>
        <v/>
      </c>
      <c r="K330" s="20">
        <f>IF(A330="","",I330-J330)</f>
        <v/>
      </c>
      <c r="L330" s="22">
        <f>IF(B330="","",B330+60)</f>
        <v/>
      </c>
    </row>
    <row r="331">
      <c r="A331" s="18">
        <f>IF(C331="","","V"&amp;TEXT(ROW()-1,"000"))</f>
        <v/>
      </c>
      <c r="B331" s="19" t="n"/>
      <c r="D331" s="18">
        <f>IFERROR(VLOOKUP(C331,Alumnos!$A:$B,2,FALSE),"")</f>
        <v/>
      </c>
      <c r="F331" s="18">
        <f>IFERROR(VLOOKUP(E331,Catalogo!$A$2:$H$60,4,FALSE),"")</f>
        <v/>
      </c>
      <c r="G331" s="20">
        <f>IFERROR(VLOOKUP(E331,Catalogo!$A$2:$H$60,5,FALSE),"")</f>
        <v/>
      </c>
      <c r="H331" s="21" t="n"/>
      <c r="I331" s="20">
        <f>IF(G331="","",G331-H331)</f>
        <v/>
      </c>
      <c r="J331" s="20">
        <f>IF(A331="","",SUMIFS(Pagos!$E:$E,Pagos!$D:$D,A331))</f>
        <v/>
      </c>
      <c r="K331" s="20">
        <f>IF(A331="","",I331-J331)</f>
        <v/>
      </c>
      <c r="L331" s="22">
        <f>IF(B331="","",B331+60)</f>
        <v/>
      </c>
    </row>
    <row r="332">
      <c r="A332" s="18">
        <f>IF(C332="","","V"&amp;TEXT(ROW()-1,"000"))</f>
        <v/>
      </c>
      <c r="B332" s="19" t="n"/>
      <c r="D332" s="18">
        <f>IFERROR(VLOOKUP(C332,Alumnos!$A:$B,2,FALSE),"")</f>
        <v/>
      </c>
      <c r="F332" s="18">
        <f>IFERROR(VLOOKUP(E332,Catalogo!$A$2:$H$60,4,FALSE),"")</f>
        <v/>
      </c>
      <c r="G332" s="20">
        <f>IFERROR(VLOOKUP(E332,Catalogo!$A$2:$H$60,5,FALSE),"")</f>
        <v/>
      </c>
      <c r="H332" s="21" t="n"/>
      <c r="I332" s="20">
        <f>IF(G332="","",G332-H332)</f>
        <v/>
      </c>
      <c r="J332" s="20">
        <f>IF(A332="","",SUMIFS(Pagos!$E:$E,Pagos!$D:$D,A332))</f>
        <v/>
      </c>
      <c r="K332" s="20">
        <f>IF(A332="","",I332-J332)</f>
        <v/>
      </c>
      <c r="L332" s="22">
        <f>IF(B332="","",B332+60)</f>
        <v/>
      </c>
    </row>
    <row r="333">
      <c r="A333" s="18">
        <f>IF(C333="","","V"&amp;TEXT(ROW()-1,"000"))</f>
        <v/>
      </c>
      <c r="B333" s="19" t="n"/>
      <c r="D333" s="18">
        <f>IFERROR(VLOOKUP(C333,Alumnos!$A:$B,2,FALSE),"")</f>
        <v/>
      </c>
      <c r="F333" s="18">
        <f>IFERROR(VLOOKUP(E333,Catalogo!$A$2:$H$60,4,FALSE),"")</f>
        <v/>
      </c>
      <c r="G333" s="20">
        <f>IFERROR(VLOOKUP(E333,Catalogo!$A$2:$H$60,5,FALSE),"")</f>
        <v/>
      </c>
      <c r="H333" s="21" t="n"/>
      <c r="I333" s="20">
        <f>IF(G333="","",G333-H333)</f>
        <v/>
      </c>
      <c r="J333" s="20">
        <f>IF(A333="","",SUMIFS(Pagos!$E:$E,Pagos!$D:$D,A333))</f>
        <v/>
      </c>
      <c r="K333" s="20">
        <f>IF(A333="","",I333-J333)</f>
        <v/>
      </c>
      <c r="L333" s="22">
        <f>IF(B333="","",B333+60)</f>
        <v/>
      </c>
    </row>
    <row r="334">
      <c r="A334" s="18">
        <f>IF(C334="","","V"&amp;TEXT(ROW()-1,"000"))</f>
        <v/>
      </c>
      <c r="B334" s="19" t="n"/>
      <c r="D334" s="18">
        <f>IFERROR(VLOOKUP(C334,Alumnos!$A:$B,2,FALSE),"")</f>
        <v/>
      </c>
      <c r="F334" s="18">
        <f>IFERROR(VLOOKUP(E334,Catalogo!$A$2:$H$60,4,FALSE),"")</f>
        <v/>
      </c>
      <c r="G334" s="20">
        <f>IFERROR(VLOOKUP(E334,Catalogo!$A$2:$H$60,5,FALSE),"")</f>
        <v/>
      </c>
      <c r="H334" s="21" t="n"/>
      <c r="I334" s="20">
        <f>IF(G334="","",G334-H334)</f>
        <v/>
      </c>
      <c r="J334" s="20">
        <f>IF(A334="","",SUMIFS(Pagos!$E:$E,Pagos!$D:$D,A334))</f>
        <v/>
      </c>
      <c r="K334" s="20">
        <f>IF(A334="","",I334-J334)</f>
        <v/>
      </c>
      <c r="L334" s="22">
        <f>IF(B334="","",B334+60)</f>
        <v/>
      </c>
    </row>
    <row r="335">
      <c r="A335" s="18">
        <f>IF(C335="","","V"&amp;TEXT(ROW()-1,"000"))</f>
        <v/>
      </c>
      <c r="B335" s="19" t="n"/>
      <c r="D335" s="18">
        <f>IFERROR(VLOOKUP(C335,Alumnos!$A:$B,2,FALSE),"")</f>
        <v/>
      </c>
      <c r="F335" s="18">
        <f>IFERROR(VLOOKUP(E335,Catalogo!$A$2:$H$60,4,FALSE),"")</f>
        <v/>
      </c>
      <c r="G335" s="20">
        <f>IFERROR(VLOOKUP(E335,Catalogo!$A$2:$H$60,5,FALSE),"")</f>
        <v/>
      </c>
      <c r="H335" s="21" t="n"/>
      <c r="I335" s="20">
        <f>IF(G335="","",G335-H335)</f>
        <v/>
      </c>
      <c r="J335" s="20">
        <f>IF(A335="","",SUMIFS(Pagos!$E:$E,Pagos!$D:$D,A335))</f>
        <v/>
      </c>
      <c r="K335" s="20">
        <f>IF(A335="","",I335-J335)</f>
        <v/>
      </c>
      <c r="L335" s="22">
        <f>IF(B335="","",B335+60)</f>
        <v/>
      </c>
    </row>
    <row r="336">
      <c r="A336" s="18">
        <f>IF(C336="","","V"&amp;TEXT(ROW()-1,"000"))</f>
        <v/>
      </c>
      <c r="B336" s="19" t="n"/>
      <c r="D336" s="18">
        <f>IFERROR(VLOOKUP(C336,Alumnos!$A:$B,2,FALSE),"")</f>
        <v/>
      </c>
      <c r="F336" s="18">
        <f>IFERROR(VLOOKUP(E336,Catalogo!$A$2:$H$60,4,FALSE),"")</f>
        <v/>
      </c>
      <c r="G336" s="20">
        <f>IFERROR(VLOOKUP(E336,Catalogo!$A$2:$H$60,5,FALSE),"")</f>
        <v/>
      </c>
      <c r="H336" s="21" t="n"/>
      <c r="I336" s="20">
        <f>IF(G336="","",G336-H336)</f>
        <v/>
      </c>
      <c r="J336" s="20">
        <f>IF(A336="","",SUMIFS(Pagos!$E:$E,Pagos!$D:$D,A336))</f>
        <v/>
      </c>
      <c r="K336" s="20">
        <f>IF(A336="","",I336-J336)</f>
        <v/>
      </c>
      <c r="L336" s="22">
        <f>IF(B336="","",B336+60)</f>
        <v/>
      </c>
    </row>
    <row r="337">
      <c r="A337" s="18">
        <f>IF(C337="","","V"&amp;TEXT(ROW()-1,"000"))</f>
        <v/>
      </c>
      <c r="B337" s="19" t="n"/>
      <c r="D337" s="18">
        <f>IFERROR(VLOOKUP(C337,Alumnos!$A:$B,2,FALSE),"")</f>
        <v/>
      </c>
      <c r="F337" s="18">
        <f>IFERROR(VLOOKUP(E337,Catalogo!$A$2:$H$60,4,FALSE),"")</f>
        <v/>
      </c>
      <c r="G337" s="20">
        <f>IFERROR(VLOOKUP(E337,Catalogo!$A$2:$H$60,5,FALSE),"")</f>
        <v/>
      </c>
      <c r="H337" s="21" t="n"/>
      <c r="I337" s="20">
        <f>IF(G337="","",G337-H337)</f>
        <v/>
      </c>
      <c r="J337" s="20">
        <f>IF(A337="","",SUMIFS(Pagos!$E:$E,Pagos!$D:$D,A337))</f>
        <v/>
      </c>
      <c r="K337" s="20">
        <f>IF(A337="","",I337-J337)</f>
        <v/>
      </c>
      <c r="L337" s="22">
        <f>IF(B337="","",B337+60)</f>
        <v/>
      </c>
    </row>
    <row r="338">
      <c r="A338" s="18">
        <f>IF(C338="","","V"&amp;TEXT(ROW()-1,"000"))</f>
        <v/>
      </c>
      <c r="B338" s="19" t="n"/>
      <c r="D338" s="18">
        <f>IFERROR(VLOOKUP(C338,Alumnos!$A:$B,2,FALSE),"")</f>
        <v/>
      </c>
      <c r="F338" s="18">
        <f>IFERROR(VLOOKUP(E338,Catalogo!$A$2:$H$60,4,FALSE),"")</f>
        <v/>
      </c>
      <c r="G338" s="20">
        <f>IFERROR(VLOOKUP(E338,Catalogo!$A$2:$H$60,5,FALSE),"")</f>
        <v/>
      </c>
      <c r="H338" s="21" t="n"/>
      <c r="I338" s="20">
        <f>IF(G338="","",G338-H338)</f>
        <v/>
      </c>
      <c r="J338" s="20">
        <f>IF(A338="","",SUMIFS(Pagos!$E:$E,Pagos!$D:$D,A338))</f>
        <v/>
      </c>
      <c r="K338" s="20">
        <f>IF(A338="","",I338-J338)</f>
        <v/>
      </c>
      <c r="L338" s="22">
        <f>IF(B338="","",B338+60)</f>
        <v/>
      </c>
    </row>
    <row r="339">
      <c r="A339" s="18">
        <f>IF(C339="","","V"&amp;TEXT(ROW()-1,"000"))</f>
        <v/>
      </c>
      <c r="B339" s="19" t="n"/>
      <c r="D339" s="18">
        <f>IFERROR(VLOOKUP(C339,Alumnos!$A:$B,2,FALSE),"")</f>
        <v/>
      </c>
      <c r="F339" s="18">
        <f>IFERROR(VLOOKUP(E339,Catalogo!$A$2:$H$60,4,FALSE),"")</f>
        <v/>
      </c>
      <c r="G339" s="20">
        <f>IFERROR(VLOOKUP(E339,Catalogo!$A$2:$H$60,5,FALSE),"")</f>
        <v/>
      </c>
      <c r="H339" s="21" t="n"/>
      <c r="I339" s="20">
        <f>IF(G339="","",G339-H339)</f>
        <v/>
      </c>
      <c r="J339" s="20">
        <f>IF(A339="","",SUMIFS(Pagos!$E:$E,Pagos!$D:$D,A339))</f>
        <v/>
      </c>
      <c r="K339" s="20">
        <f>IF(A339="","",I339-J339)</f>
        <v/>
      </c>
      <c r="L339" s="22">
        <f>IF(B339="","",B339+60)</f>
        <v/>
      </c>
    </row>
    <row r="340">
      <c r="A340" s="18">
        <f>IF(C340="","","V"&amp;TEXT(ROW()-1,"000"))</f>
        <v/>
      </c>
      <c r="B340" s="19" t="n"/>
      <c r="D340" s="18">
        <f>IFERROR(VLOOKUP(C340,Alumnos!$A:$B,2,FALSE),"")</f>
        <v/>
      </c>
      <c r="F340" s="18">
        <f>IFERROR(VLOOKUP(E340,Catalogo!$A$2:$H$60,4,FALSE),"")</f>
        <v/>
      </c>
      <c r="G340" s="20">
        <f>IFERROR(VLOOKUP(E340,Catalogo!$A$2:$H$60,5,FALSE),"")</f>
        <v/>
      </c>
      <c r="H340" s="21" t="n"/>
      <c r="I340" s="20">
        <f>IF(G340="","",G340-H340)</f>
        <v/>
      </c>
      <c r="J340" s="20">
        <f>IF(A340="","",SUMIFS(Pagos!$E:$E,Pagos!$D:$D,A340))</f>
        <v/>
      </c>
      <c r="K340" s="20">
        <f>IF(A340="","",I340-J340)</f>
        <v/>
      </c>
      <c r="L340" s="22">
        <f>IF(B340="","",B340+60)</f>
        <v/>
      </c>
    </row>
    <row r="341">
      <c r="A341" s="18">
        <f>IF(C341="","","V"&amp;TEXT(ROW()-1,"000"))</f>
        <v/>
      </c>
      <c r="B341" s="19" t="n"/>
      <c r="D341" s="18">
        <f>IFERROR(VLOOKUP(C341,Alumnos!$A:$B,2,FALSE),"")</f>
        <v/>
      </c>
      <c r="F341" s="18">
        <f>IFERROR(VLOOKUP(E341,Catalogo!$A$2:$H$60,4,FALSE),"")</f>
        <v/>
      </c>
      <c r="G341" s="20">
        <f>IFERROR(VLOOKUP(E341,Catalogo!$A$2:$H$60,5,FALSE),"")</f>
        <v/>
      </c>
      <c r="H341" s="21" t="n"/>
      <c r="I341" s="20">
        <f>IF(G341="","",G341-H341)</f>
        <v/>
      </c>
      <c r="J341" s="20">
        <f>IF(A341="","",SUMIFS(Pagos!$E:$E,Pagos!$D:$D,A341))</f>
        <v/>
      </c>
      <c r="K341" s="20">
        <f>IF(A341="","",I341-J341)</f>
        <v/>
      </c>
      <c r="L341" s="22">
        <f>IF(B341="","",B341+60)</f>
        <v/>
      </c>
    </row>
    <row r="342">
      <c r="A342" s="18">
        <f>IF(C342="","","V"&amp;TEXT(ROW()-1,"000"))</f>
        <v/>
      </c>
      <c r="B342" s="19" t="n"/>
      <c r="D342" s="18">
        <f>IFERROR(VLOOKUP(C342,Alumnos!$A:$B,2,FALSE),"")</f>
        <v/>
      </c>
      <c r="F342" s="18">
        <f>IFERROR(VLOOKUP(E342,Catalogo!$A$2:$H$60,4,FALSE),"")</f>
        <v/>
      </c>
      <c r="G342" s="20">
        <f>IFERROR(VLOOKUP(E342,Catalogo!$A$2:$H$60,5,FALSE),"")</f>
        <v/>
      </c>
      <c r="H342" s="21" t="n"/>
      <c r="I342" s="20">
        <f>IF(G342="","",G342-H342)</f>
        <v/>
      </c>
      <c r="J342" s="20">
        <f>IF(A342="","",SUMIFS(Pagos!$E:$E,Pagos!$D:$D,A342))</f>
        <v/>
      </c>
      <c r="K342" s="20">
        <f>IF(A342="","",I342-J342)</f>
        <v/>
      </c>
      <c r="L342" s="22">
        <f>IF(B342="","",B342+60)</f>
        <v/>
      </c>
    </row>
    <row r="343">
      <c r="A343" s="18">
        <f>IF(C343="","","V"&amp;TEXT(ROW()-1,"000"))</f>
        <v/>
      </c>
      <c r="B343" s="19" t="n"/>
      <c r="D343" s="18">
        <f>IFERROR(VLOOKUP(C343,Alumnos!$A:$B,2,FALSE),"")</f>
        <v/>
      </c>
      <c r="F343" s="18">
        <f>IFERROR(VLOOKUP(E343,Catalogo!$A$2:$H$60,4,FALSE),"")</f>
        <v/>
      </c>
      <c r="G343" s="20">
        <f>IFERROR(VLOOKUP(E343,Catalogo!$A$2:$H$60,5,FALSE),"")</f>
        <v/>
      </c>
      <c r="H343" s="21" t="n"/>
      <c r="I343" s="20">
        <f>IF(G343="","",G343-H343)</f>
        <v/>
      </c>
      <c r="J343" s="20">
        <f>IF(A343="","",SUMIFS(Pagos!$E:$E,Pagos!$D:$D,A343))</f>
        <v/>
      </c>
      <c r="K343" s="20">
        <f>IF(A343="","",I343-J343)</f>
        <v/>
      </c>
      <c r="L343" s="22">
        <f>IF(B343="","",B343+60)</f>
        <v/>
      </c>
    </row>
    <row r="344">
      <c r="A344" s="18">
        <f>IF(C344="","","V"&amp;TEXT(ROW()-1,"000"))</f>
        <v/>
      </c>
      <c r="B344" s="19" t="n"/>
      <c r="D344" s="18">
        <f>IFERROR(VLOOKUP(C344,Alumnos!$A:$B,2,FALSE),"")</f>
        <v/>
      </c>
      <c r="F344" s="18">
        <f>IFERROR(VLOOKUP(E344,Catalogo!$A$2:$H$60,4,FALSE),"")</f>
        <v/>
      </c>
      <c r="G344" s="20">
        <f>IFERROR(VLOOKUP(E344,Catalogo!$A$2:$H$60,5,FALSE),"")</f>
        <v/>
      </c>
      <c r="H344" s="21" t="n"/>
      <c r="I344" s="20">
        <f>IF(G344="","",G344-H344)</f>
        <v/>
      </c>
      <c r="J344" s="20">
        <f>IF(A344="","",SUMIFS(Pagos!$E:$E,Pagos!$D:$D,A344))</f>
        <v/>
      </c>
      <c r="K344" s="20">
        <f>IF(A344="","",I344-J344)</f>
        <v/>
      </c>
      <c r="L344" s="22">
        <f>IF(B344="","",B344+60)</f>
        <v/>
      </c>
    </row>
    <row r="345">
      <c r="A345" s="18">
        <f>IF(C345="","","V"&amp;TEXT(ROW()-1,"000"))</f>
        <v/>
      </c>
      <c r="B345" s="19" t="n"/>
      <c r="D345" s="18">
        <f>IFERROR(VLOOKUP(C345,Alumnos!$A:$B,2,FALSE),"")</f>
        <v/>
      </c>
      <c r="F345" s="18">
        <f>IFERROR(VLOOKUP(E345,Catalogo!$A$2:$H$60,4,FALSE),"")</f>
        <v/>
      </c>
      <c r="G345" s="20">
        <f>IFERROR(VLOOKUP(E345,Catalogo!$A$2:$H$60,5,FALSE),"")</f>
        <v/>
      </c>
      <c r="H345" s="21" t="n"/>
      <c r="I345" s="20">
        <f>IF(G345="","",G345-H345)</f>
        <v/>
      </c>
      <c r="J345" s="20">
        <f>IF(A345="","",SUMIFS(Pagos!$E:$E,Pagos!$D:$D,A345))</f>
        <v/>
      </c>
      <c r="K345" s="20">
        <f>IF(A345="","",I345-J345)</f>
        <v/>
      </c>
      <c r="L345" s="22">
        <f>IF(B345="","",B345+60)</f>
        <v/>
      </c>
    </row>
    <row r="346">
      <c r="A346" s="18">
        <f>IF(C346="","","V"&amp;TEXT(ROW()-1,"000"))</f>
        <v/>
      </c>
      <c r="B346" s="19" t="n"/>
      <c r="D346" s="18">
        <f>IFERROR(VLOOKUP(C346,Alumnos!$A:$B,2,FALSE),"")</f>
        <v/>
      </c>
      <c r="F346" s="18">
        <f>IFERROR(VLOOKUP(E346,Catalogo!$A$2:$H$60,4,FALSE),"")</f>
        <v/>
      </c>
      <c r="G346" s="20">
        <f>IFERROR(VLOOKUP(E346,Catalogo!$A$2:$H$60,5,FALSE),"")</f>
        <v/>
      </c>
      <c r="H346" s="21" t="n"/>
      <c r="I346" s="20">
        <f>IF(G346="","",G346-H346)</f>
        <v/>
      </c>
      <c r="J346" s="20">
        <f>IF(A346="","",SUMIFS(Pagos!$E:$E,Pagos!$D:$D,A346))</f>
        <v/>
      </c>
      <c r="K346" s="20">
        <f>IF(A346="","",I346-J346)</f>
        <v/>
      </c>
      <c r="L346" s="22">
        <f>IF(B346="","",B346+60)</f>
        <v/>
      </c>
    </row>
    <row r="347">
      <c r="A347" s="18">
        <f>IF(C347="","","V"&amp;TEXT(ROW()-1,"000"))</f>
        <v/>
      </c>
      <c r="B347" s="19" t="n"/>
      <c r="D347" s="18">
        <f>IFERROR(VLOOKUP(C347,Alumnos!$A:$B,2,FALSE),"")</f>
        <v/>
      </c>
      <c r="F347" s="18">
        <f>IFERROR(VLOOKUP(E347,Catalogo!$A$2:$H$60,4,FALSE),"")</f>
        <v/>
      </c>
      <c r="G347" s="20">
        <f>IFERROR(VLOOKUP(E347,Catalogo!$A$2:$H$60,5,FALSE),"")</f>
        <v/>
      </c>
      <c r="H347" s="21" t="n"/>
      <c r="I347" s="20">
        <f>IF(G347="","",G347-H347)</f>
        <v/>
      </c>
      <c r="J347" s="20">
        <f>IF(A347="","",SUMIFS(Pagos!$E:$E,Pagos!$D:$D,A347))</f>
        <v/>
      </c>
      <c r="K347" s="20">
        <f>IF(A347="","",I347-J347)</f>
        <v/>
      </c>
      <c r="L347" s="22">
        <f>IF(B347="","",B347+60)</f>
        <v/>
      </c>
    </row>
    <row r="348">
      <c r="A348" s="18">
        <f>IF(C348="","","V"&amp;TEXT(ROW()-1,"000"))</f>
        <v/>
      </c>
      <c r="B348" s="19" t="n"/>
      <c r="D348" s="18">
        <f>IFERROR(VLOOKUP(C348,Alumnos!$A:$B,2,FALSE),"")</f>
        <v/>
      </c>
      <c r="F348" s="18">
        <f>IFERROR(VLOOKUP(E348,Catalogo!$A$2:$H$60,4,FALSE),"")</f>
        <v/>
      </c>
      <c r="G348" s="20">
        <f>IFERROR(VLOOKUP(E348,Catalogo!$A$2:$H$60,5,FALSE),"")</f>
        <v/>
      </c>
      <c r="H348" s="21" t="n"/>
      <c r="I348" s="20">
        <f>IF(G348="","",G348-H348)</f>
        <v/>
      </c>
      <c r="J348" s="20">
        <f>IF(A348="","",SUMIFS(Pagos!$E:$E,Pagos!$D:$D,A348))</f>
        <v/>
      </c>
      <c r="K348" s="20">
        <f>IF(A348="","",I348-J348)</f>
        <v/>
      </c>
      <c r="L348" s="22">
        <f>IF(B348="","",B348+60)</f>
        <v/>
      </c>
    </row>
    <row r="349">
      <c r="A349" s="18">
        <f>IF(C349="","","V"&amp;TEXT(ROW()-1,"000"))</f>
        <v/>
      </c>
      <c r="B349" s="19" t="n"/>
      <c r="D349" s="18">
        <f>IFERROR(VLOOKUP(C349,Alumnos!$A:$B,2,FALSE),"")</f>
        <v/>
      </c>
      <c r="F349" s="18">
        <f>IFERROR(VLOOKUP(E349,Catalogo!$A$2:$H$60,4,FALSE),"")</f>
        <v/>
      </c>
      <c r="G349" s="20">
        <f>IFERROR(VLOOKUP(E349,Catalogo!$A$2:$H$60,5,FALSE),"")</f>
        <v/>
      </c>
      <c r="H349" s="21" t="n"/>
      <c r="I349" s="20">
        <f>IF(G349="","",G349-H349)</f>
        <v/>
      </c>
      <c r="J349" s="20">
        <f>IF(A349="","",SUMIFS(Pagos!$E:$E,Pagos!$D:$D,A349))</f>
        <v/>
      </c>
      <c r="K349" s="20">
        <f>IF(A349="","",I349-J349)</f>
        <v/>
      </c>
      <c r="L349" s="22">
        <f>IF(B349="","",B349+60)</f>
        <v/>
      </c>
    </row>
    <row r="350">
      <c r="A350" s="18">
        <f>IF(C350="","","V"&amp;TEXT(ROW()-1,"000"))</f>
        <v/>
      </c>
      <c r="B350" s="19" t="n"/>
      <c r="D350" s="18">
        <f>IFERROR(VLOOKUP(C350,Alumnos!$A:$B,2,FALSE),"")</f>
        <v/>
      </c>
      <c r="F350" s="18">
        <f>IFERROR(VLOOKUP(E350,Catalogo!$A$2:$H$60,4,FALSE),"")</f>
        <v/>
      </c>
      <c r="G350" s="20">
        <f>IFERROR(VLOOKUP(E350,Catalogo!$A$2:$H$60,5,FALSE),"")</f>
        <v/>
      </c>
      <c r="H350" s="21" t="n"/>
      <c r="I350" s="20">
        <f>IF(G350="","",G350-H350)</f>
        <v/>
      </c>
      <c r="J350" s="20">
        <f>IF(A350="","",SUMIFS(Pagos!$E:$E,Pagos!$D:$D,A350))</f>
        <v/>
      </c>
      <c r="K350" s="20">
        <f>IF(A350="","",I350-J350)</f>
        <v/>
      </c>
      <c r="L350" s="22">
        <f>IF(B350="","",B350+60)</f>
        <v/>
      </c>
    </row>
    <row r="351">
      <c r="A351" s="18">
        <f>IF(C351="","","V"&amp;TEXT(ROW()-1,"000"))</f>
        <v/>
      </c>
      <c r="B351" s="19" t="n"/>
      <c r="D351" s="18">
        <f>IFERROR(VLOOKUP(C351,Alumnos!$A:$B,2,FALSE),"")</f>
        <v/>
      </c>
      <c r="F351" s="18">
        <f>IFERROR(VLOOKUP(E351,Catalogo!$A$2:$H$60,4,FALSE),"")</f>
        <v/>
      </c>
      <c r="G351" s="20">
        <f>IFERROR(VLOOKUP(E351,Catalogo!$A$2:$H$60,5,FALSE),"")</f>
        <v/>
      </c>
      <c r="H351" s="21" t="n"/>
      <c r="I351" s="20">
        <f>IF(G351="","",G351-H351)</f>
        <v/>
      </c>
      <c r="J351" s="20">
        <f>IF(A351="","",SUMIFS(Pagos!$E:$E,Pagos!$D:$D,A351))</f>
        <v/>
      </c>
      <c r="K351" s="20">
        <f>IF(A351="","",I351-J351)</f>
        <v/>
      </c>
      <c r="L351" s="22">
        <f>IF(B351="","",B351+60)</f>
        <v/>
      </c>
    </row>
    <row r="352">
      <c r="A352" s="18">
        <f>IF(C352="","","V"&amp;TEXT(ROW()-1,"000"))</f>
        <v/>
      </c>
      <c r="B352" s="19" t="n"/>
      <c r="D352" s="18">
        <f>IFERROR(VLOOKUP(C352,Alumnos!$A:$B,2,FALSE),"")</f>
        <v/>
      </c>
      <c r="F352" s="18">
        <f>IFERROR(VLOOKUP(E352,Catalogo!$A$2:$H$60,4,FALSE),"")</f>
        <v/>
      </c>
      <c r="G352" s="20">
        <f>IFERROR(VLOOKUP(E352,Catalogo!$A$2:$H$60,5,FALSE),"")</f>
        <v/>
      </c>
      <c r="H352" s="21" t="n"/>
      <c r="I352" s="20">
        <f>IF(G352="","",G352-H352)</f>
        <v/>
      </c>
      <c r="J352" s="20">
        <f>IF(A352="","",SUMIFS(Pagos!$E:$E,Pagos!$D:$D,A352))</f>
        <v/>
      </c>
      <c r="K352" s="20">
        <f>IF(A352="","",I352-J352)</f>
        <v/>
      </c>
      <c r="L352" s="22">
        <f>IF(B352="","",B352+60)</f>
        <v/>
      </c>
    </row>
    <row r="353">
      <c r="A353" s="18">
        <f>IF(C353="","","V"&amp;TEXT(ROW()-1,"000"))</f>
        <v/>
      </c>
      <c r="B353" s="19" t="n"/>
      <c r="D353" s="18">
        <f>IFERROR(VLOOKUP(C353,Alumnos!$A:$B,2,FALSE),"")</f>
        <v/>
      </c>
      <c r="F353" s="18">
        <f>IFERROR(VLOOKUP(E353,Catalogo!$A$2:$H$60,4,FALSE),"")</f>
        <v/>
      </c>
      <c r="G353" s="20">
        <f>IFERROR(VLOOKUP(E353,Catalogo!$A$2:$H$60,5,FALSE),"")</f>
        <v/>
      </c>
      <c r="H353" s="21" t="n"/>
      <c r="I353" s="20">
        <f>IF(G353="","",G353-H353)</f>
        <v/>
      </c>
      <c r="J353" s="20">
        <f>IF(A353="","",SUMIFS(Pagos!$E:$E,Pagos!$D:$D,A353))</f>
        <v/>
      </c>
      <c r="K353" s="20">
        <f>IF(A353="","",I353-J353)</f>
        <v/>
      </c>
      <c r="L353" s="22">
        <f>IF(B353="","",B353+60)</f>
        <v/>
      </c>
    </row>
    <row r="354">
      <c r="A354" s="18">
        <f>IF(C354="","","V"&amp;TEXT(ROW()-1,"000"))</f>
        <v/>
      </c>
      <c r="B354" s="19" t="n"/>
      <c r="D354" s="18">
        <f>IFERROR(VLOOKUP(C354,Alumnos!$A:$B,2,FALSE),"")</f>
        <v/>
      </c>
      <c r="F354" s="18">
        <f>IFERROR(VLOOKUP(E354,Catalogo!$A$2:$H$60,4,FALSE),"")</f>
        <v/>
      </c>
      <c r="G354" s="20">
        <f>IFERROR(VLOOKUP(E354,Catalogo!$A$2:$H$60,5,FALSE),"")</f>
        <v/>
      </c>
      <c r="H354" s="21" t="n"/>
      <c r="I354" s="20">
        <f>IF(G354="","",G354-H354)</f>
        <v/>
      </c>
      <c r="J354" s="20">
        <f>IF(A354="","",SUMIFS(Pagos!$E:$E,Pagos!$D:$D,A354))</f>
        <v/>
      </c>
      <c r="K354" s="20">
        <f>IF(A354="","",I354-J354)</f>
        <v/>
      </c>
      <c r="L354" s="22">
        <f>IF(B354="","",B354+60)</f>
        <v/>
      </c>
    </row>
    <row r="355">
      <c r="A355" s="18">
        <f>IF(C355="","","V"&amp;TEXT(ROW()-1,"000"))</f>
        <v/>
      </c>
      <c r="B355" s="19" t="n"/>
      <c r="D355" s="18">
        <f>IFERROR(VLOOKUP(C355,Alumnos!$A:$B,2,FALSE),"")</f>
        <v/>
      </c>
      <c r="F355" s="18">
        <f>IFERROR(VLOOKUP(E355,Catalogo!$A$2:$H$60,4,FALSE),"")</f>
        <v/>
      </c>
      <c r="G355" s="20">
        <f>IFERROR(VLOOKUP(E355,Catalogo!$A$2:$H$60,5,FALSE),"")</f>
        <v/>
      </c>
      <c r="H355" s="21" t="n"/>
      <c r="I355" s="20">
        <f>IF(G355="","",G355-H355)</f>
        <v/>
      </c>
      <c r="J355" s="20">
        <f>IF(A355="","",SUMIFS(Pagos!$E:$E,Pagos!$D:$D,A355))</f>
        <v/>
      </c>
      <c r="K355" s="20">
        <f>IF(A355="","",I355-J355)</f>
        <v/>
      </c>
      <c r="L355" s="22">
        <f>IF(B355="","",B355+60)</f>
        <v/>
      </c>
    </row>
    <row r="356">
      <c r="A356" s="18">
        <f>IF(C356="","","V"&amp;TEXT(ROW()-1,"000"))</f>
        <v/>
      </c>
      <c r="B356" s="19" t="n"/>
      <c r="D356" s="18">
        <f>IFERROR(VLOOKUP(C356,Alumnos!$A:$B,2,FALSE),"")</f>
        <v/>
      </c>
      <c r="F356" s="18">
        <f>IFERROR(VLOOKUP(E356,Catalogo!$A$2:$H$60,4,FALSE),"")</f>
        <v/>
      </c>
      <c r="G356" s="20">
        <f>IFERROR(VLOOKUP(E356,Catalogo!$A$2:$H$60,5,FALSE),"")</f>
        <v/>
      </c>
      <c r="H356" s="21" t="n"/>
      <c r="I356" s="20">
        <f>IF(G356="","",G356-H356)</f>
        <v/>
      </c>
      <c r="J356" s="20">
        <f>IF(A356="","",SUMIFS(Pagos!$E:$E,Pagos!$D:$D,A356))</f>
        <v/>
      </c>
      <c r="K356" s="20">
        <f>IF(A356="","",I356-J356)</f>
        <v/>
      </c>
      <c r="L356" s="22">
        <f>IF(B356="","",B356+60)</f>
        <v/>
      </c>
    </row>
    <row r="357">
      <c r="A357" s="18">
        <f>IF(C357="","","V"&amp;TEXT(ROW()-1,"000"))</f>
        <v/>
      </c>
      <c r="B357" s="19" t="n"/>
      <c r="D357" s="18">
        <f>IFERROR(VLOOKUP(C357,Alumnos!$A:$B,2,FALSE),"")</f>
        <v/>
      </c>
      <c r="F357" s="18">
        <f>IFERROR(VLOOKUP(E357,Catalogo!$A$2:$H$60,4,FALSE),"")</f>
        <v/>
      </c>
      <c r="G357" s="20">
        <f>IFERROR(VLOOKUP(E357,Catalogo!$A$2:$H$60,5,FALSE),"")</f>
        <v/>
      </c>
      <c r="H357" s="21" t="n"/>
      <c r="I357" s="20">
        <f>IF(G357="","",G357-H357)</f>
        <v/>
      </c>
      <c r="J357" s="20">
        <f>IF(A357="","",SUMIFS(Pagos!$E:$E,Pagos!$D:$D,A357))</f>
        <v/>
      </c>
      <c r="K357" s="20">
        <f>IF(A357="","",I357-J357)</f>
        <v/>
      </c>
      <c r="L357" s="22">
        <f>IF(B357="","",B357+60)</f>
        <v/>
      </c>
    </row>
    <row r="358">
      <c r="A358" s="18">
        <f>IF(C358="","","V"&amp;TEXT(ROW()-1,"000"))</f>
        <v/>
      </c>
      <c r="B358" s="19" t="n"/>
      <c r="D358" s="18">
        <f>IFERROR(VLOOKUP(C358,Alumnos!$A:$B,2,FALSE),"")</f>
        <v/>
      </c>
      <c r="F358" s="18">
        <f>IFERROR(VLOOKUP(E358,Catalogo!$A$2:$H$60,4,FALSE),"")</f>
        <v/>
      </c>
      <c r="G358" s="20">
        <f>IFERROR(VLOOKUP(E358,Catalogo!$A$2:$H$60,5,FALSE),"")</f>
        <v/>
      </c>
      <c r="H358" s="21" t="n"/>
      <c r="I358" s="20">
        <f>IF(G358="","",G358-H358)</f>
        <v/>
      </c>
      <c r="J358" s="20">
        <f>IF(A358="","",SUMIFS(Pagos!$E:$E,Pagos!$D:$D,A358))</f>
        <v/>
      </c>
      <c r="K358" s="20">
        <f>IF(A358="","",I358-J358)</f>
        <v/>
      </c>
      <c r="L358" s="22">
        <f>IF(B358="","",B358+60)</f>
        <v/>
      </c>
    </row>
    <row r="359">
      <c r="A359" s="18">
        <f>IF(C359="","","V"&amp;TEXT(ROW()-1,"000"))</f>
        <v/>
      </c>
      <c r="B359" s="19" t="n"/>
      <c r="D359" s="18">
        <f>IFERROR(VLOOKUP(C359,Alumnos!$A:$B,2,FALSE),"")</f>
        <v/>
      </c>
      <c r="F359" s="18">
        <f>IFERROR(VLOOKUP(E359,Catalogo!$A$2:$H$60,4,FALSE),"")</f>
        <v/>
      </c>
      <c r="G359" s="20">
        <f>IFERROR(VLOOKUP(E359,Catalogo!$A$2:$H$60,5,FALSE),"")</f>
        <v/>
      </c>
      <c r="H359" s="21" t="n"/>
      <c r="I359" s="20">
        <f>IF(G359="","",G359-H359)</f>
        <v/>
      </c>
      <c r="J359" s="20">
        <f>IF(A359="","",SUMIFS(Pagos!$E:$E,Pagos!$D:$D,A359))</f>
        <v/>
      </c>
      <c r="K359" s="20">
        <f>IF(A359="","",I359-J359)</f>
        <v/>
      </c>
      <c r="L359" s="22">
        <f>IF(B359="","",B359+60)</f>
        <v/>
      </c>
    </row>
    <row r="360">
      <c r="A360" s="18">
        <f>IF(C360="","","V"&amp;TEXT(ROW()-1,"000"))</f>
        <v/>
      </c>
      <c r="B360" s="19" t="n"/>
      <c r="D360" s="18">
        <f>IFERROR(VLOOKUP(C360,Alumnos!$A:$B,2,FALSE),"")</f>
        <v/>
      </c>
      <c r="F360" s="18">
        <f>IFERROR(VLOOKUP(E360,Catalogo!$A$2:$H$60,4,FALSE),"")</f>
        <v/>
      </c>
      <c r="G360" s="20">
        <f>IFERROR(VLOOKUP(E360,Catalogo!$A$2:$H$60,5,FALSE),"")</f>
        <v/>
      </c>
      <c r="H360" s="21" t="n"/>
      <c r="I360" s="20">
        <f>IF(G360="","",G360-H360)</f>
        <v/>
      </c>
      <c r="J360" s="20">
        <f>IF(A360="","",SUMIFS(Pagos!$E:$E,Pagos!$D:$D,A360))</f>
        <v/>
      </c>
      <c r="K360" s="20">
        <f>IF(A360="","",I360-J360)</f>
        <v/>
      </c>
      <c r="L360" s="22">
        <f>IF(B360="","",B360+60)</f>
        <v/>
      </c>
    </row>
    <row r="361">
      <c r="A361" s="18">
        <f>IF(C361="","","V"&amp;TEXT(ROW()-1,"000"))</f>
        <v/>
      </c>
      <c r="B361" s="19" t="n"/>
      <c r="D361" s="18">
        <f>IFERROR(VLOOKUP(C361,Alumnos!$A:$B,2,FALSE),"")</f>
        <v/>
      </c>
      <c r="F361" s="18">
        <f>IFERROR(VLOOKUP(E361,Catalogo!$A$2:$H$60,4,FALSE),"")</f>
        <v/>
      </c>
      <c r="G361" s="20">
        <f>IFERROR(VLOOKUP(E361,Catalogo!$A$2:$H$60,5,FALSE),"")</f>
        <v/>
      </c>
      <c r="H361" s="21" t="n"/>
      <c r="I361" s="20">
        <f>IF(G361="","",G361-H361)</f>
        <v/>
      </c>
      <c r="J361" s="20">
        <f>IF(A361="","",SUMIFS(Pagos!$E:$E,Pagos!$D:$D,A361))</f>
        <v/>
      </c>
      <c r="K361" s="20">
        <f>IF(A361="","",I361-J361)</f>
        <v/>
      </c>
      <c r="L361" s="22">
        <f>IF(B361="","",B361+60)</f>
        <v/>
      </c>
    </row>
    <row r="362">
      <c r="A362" s="18">
        <f>IF(C362="","","V"&amp;TEXT(ROW()-1,"000"))</f>
        <v/>
      </c>
      <c r="B362" s="19" t="n"/>
      <c r="D362" s="18">
        <f>IFERROR(VLOOKUP(C362,Alumnos!$A:$B,2,FALSE),"")</f>
        <v/>
      </c>
      <c r="F362" s="18">
        <f>IFERROR(VLOOKUP(E362,Catalogo!$A$2:$H$60,4,FALSE),"")</f>
        <v/>
      </c>
      <c r="G362" s="20">
        <f>IFERROR(VLOOKUP(E362,Catalogo!$A$2:$H$60,5,FALSE),"")</f>
        <v/>
      </c>
      <c r="H362" s="21" t="n"/>
      <c r="I362" s="20">
        <f>IF(G362="","",G362-H362)</f>
        <v/>
      </c>
      <c r="J362" s="20">
        <f>IF(A362="","",SUMIFS(Pagos!$E:$E,Pagos!$D:$D,A362))</f>
        <v/>
      </c>
      <c r="K362" s="20">
        <f>IF(A362="","",I362-J362)</f>
        <v/>
      </c>
      <c r="L362" s="22">
        <f>IF(B362="","",B362+60)</f>
        <v/>
      </c>
    </row>
    <row r="363">
      <c r="A363" s="18">
        <f>IF(C363="","","V"&amp;TEXT(ROW()-1,"000"))</f>
        <v/>
      </c>
      <c r="B363" s="19" t="n"/>
      <c r="D363" s="18">
        <f>IFERROR(VLOOKUP(C363,Alumnos!$A:$B,2,FALSE),"")</f>
        <v/>
      </c>
      <c r="F363" s="18">
        <f>IFERROR(VLOOKUP(E363,Catalogo!$A$2:$H$60,4,FALSE),"")</f>
        <v/>
      </c>
      <c r="G363" s="20">
        <f>IFERROR(VLOOKUP(E363,Catalogo!$A$2:$H$60,5,FALSE),"")</f>
        <v/>
      </c>
      <c r="H363" s="21" t="n"/>
      <c r="I363" s="20">
        <f>IF(G363="","",G363-H363)</f>
        <v/>
      </c>
      <c r="J363" s="20">
        <f>IF(A363="","",SUMIFS(Pagos!$E:$E,Pagos!$D:$D,A363))</f>
        <v/>
      </c>
      <c r="K363" s="20">
        <f>IF(A363="","",I363-J363)</f>
        <v/>
      </c>
      <c r="L363" s="22">
        <f>IF(B363="","",B363+60)</f>
        <v/>
      </c>
    </row>
    <row r="364">
      <c r="A364" s="18">
        <f>IF(C364="","","V"&amp;TEXT(ROW()-1,"000"))</f>
        <v/>
      </c>
      <c r="B364" s="19" t="n"/>
      <c r="D364" s="18">
        <f>IFERROR(VLOOKUP(C364,Alumnos!$A:$B,2,FALSE),"")</f>
        <v/>
      </c>
      <c r="F364" s="18">
        <f>IFERROR(VLOOKUP(E364,Catalogo!$A$2:$H$60,4,FALSE),"")</f>
        <v/>
      </c>
      <c r="G364" s="20">
        <f>IFERROR(VLOOKUP(E364,Catalogo!$A$2:$H$60,5,FALSE),"")</f>
        <v/>
      </c>
      <c r="H364" s="21" t="n"/>
      <c r="I364" s="20">
        <f>IF(G364="","",G364-H364)</f>
        <v/>
      </c>
      <c r="J364" s="20">
        <f>IF(A364="","",SUMIFS(Pagos!$E:$E,Pagos!$D:$D,A364))</f>
        <v/>
      </c>
      <c r="K364" s="20">
        <f>IF(A364="","",I364-J364)</f>
        <v/>
      </c>
      <c r="L364" s="22">
        <f>IF(B364="","",B364+60)</f>
        <v/>
      </c>
    </row>
    <row r="365">
      <c r="A365" s="18">
        <f>IF(C365="","","V"&amp;TEXT(ROW()-1,"000"))</f>
        <v/>
      </c>
      <c r="B365" s="19" t="n"/>
      <c r="D365" s="18">
        <f>IFERROR(VLOOKUP(C365,Alumnos!$A:$B,2,FALSE),"")</f>
        <v/>
      </c>
      <c r="F365" s="18">
        <f>IFERROR(VLOOKUP(E365,Catalogo!$A$2:$H$60,4,FALSE),"")</f>
        <v/>
      </c>
      <c r="G365" s="20">
        <f>IFERROR(VLOOKUP(E365,Catalogo!$A$2:$H$60,5,FALSE),"")</f>
        <v/>
      </c>
      <c r="H365" s="21" t="n"/>
      <c r="I365" s="20">
        <f>IF(G365="","",G365-H365)</f>
        <v/>
      </c>
      <c r="J365" s="20">
        <f>IF(A365="","",SUMIFS(Pagos!$E:$E,Pagos!$D:$D,A365))</f>
        <v/>
      </c>
      <c r="K365" s="20">
        <f>IF(A365="","",I365-J365)</f>
        <v/>
      </c>
      <c r="L365" s="22">
        <f>IF(B365="","",B365+60)</f>
        <v/>
      </c>
    </row>
    <row r="366">
      <c r="A366" s="18">
        <f>IF(C366="","","V"&amp;TEXT(ROW()-1,"000"))</f>
        <v/>
      </c>
      <c r="B366" s="19" t="n"/>
      <c r="D366" s="18">
        <f>IFERROR(VLOOKUP(C366,Alumnos!$A:$B,2,FALSE),"")</f>
        <v/>
      </c>
      <c r="F366" s="18">
        <f>IFERROR(VLOOKUP(E366,Catalogo!$A$2:$H$60,4,FALSE),"")</f>
        <v/>
      </c>
      <c r="G366" s="20">
        <f>IFERROR(VLOOKUP(E366,Catalogo!$A$2:$H$60,5,FALSE),"")</f>
        <v/>
      </c>
      <c r="H366" s="21" t="n"/>
      <c r="I366" s="20">
        <f>IF(G366="","",G366-H366)</f>
        <v/>
      </c>
      <c r="J366" s="20">
        <f>IF(A366="","",SUMIFS(Pagos!$E:$E,Pagos!$D:$D,A366))</f>
        <v/>
      </c>
      <c r="K366" s="20">
        <f>IF(A366="","",I366-J366)</f>
        <v/>
      </c>
      <c r="L366" s="22">
        <f>IF(B366="","",B366+60)</f>
        <v/>
      </c>
    </row>
    <row r="367">
      <c r="A367" s="18">
        <f>IF(C367="","","V"&amp;TEXT(ROW()-1,"000"))</f>
        <v/>
      </c>
      <c r="B367" s="19" t="n"/>
      <c r="D367" s="18">
        <f>IFERROR(VLOOKUP(C367,Alumnos!$A:$B,2,FALSE),"")</f>
        <v/>
      </c>
      <c r="F367" s="18">
        <f>IFERROR(VLOOKUP(E367,Catalogo!$A$2:$H$60,4,FALSE),"")</f>
        <v/>
      </c>
      <c r="G367" s="20">
        <f>IFERROR(VLOOKUP(E367,Catalogo!$A$2:$H$60,5,FALSE),"")</f>
        <v/>
      </c>
      <c r="H367" s="21" t="n"/>
      <c r="I367" s="20">
        <f>IF(G367="","",G367-H367)</f>
        <v/>
      </c>
      <c r="J367" s="20">
        <f>IF(A367="","",SUMIFS(Pagos!$E:$E,Pagos!$D:$D,A367))</f>
        <v/>
      </c>
      <c r="K367" s="20">
        <f>IF(A367="","",I367-J367)</f>
        <v/>
      </c>
      <c r="L367" s="22">
        <f>IF(B367="","",B367+60)</f>
        <v/>
      </c>
    </row>
    <row r="368">
      <c r="A368" s="18">
        <f>IF(C368="","","V"&amp;TEXT(ROW()-1,"000"))</f>
        <v/>
      </c>
      <c r="B368" s="19" t="n"/>
      <c r="D368" s="18">
        <f>IFERROR(VLOOKUP(C368,Alumnos!$A:$B,2,FALSE),"")</f>
        <v/>
      </c>
      <c r="F368" s="18">
        <f>IFERROR(VLOOKUP(E368,Catalogo!$A$2:$H$60,4,FALSE),"")</f>
        <v/>
      </c>
      <c r="G368" s="20">
        <f>IFERROR(VLOOKUP(E368,Catalogo!$A$2:$H$60,5,FALSE),"")</f>
        <v/>
      </c>
      <c r="H368" s="21" t="n"/>
      <c r="I368" s="20">
        <f>IF(G368="","",G368-H368)</f>
        <v/>
      </c>
      <c r="J368" s="20">
        <f>IF(A368="","",SUMIFS(Pagos!$E:$E,Pagos!$D:$D,A368))</f>
        <v/>
      </c>
      <c r="K368" s="20">
        <f>IF(A368="","",I368-J368)</f>
        <v/>
      </c>
      <c r="L368" s="22">
        <f>IF(B368="","",B368+60)</f>
        <v/>
      </c>
    </row>
    <row r="369">
      <c r="A369" s="18">
        <f>IF(C369="","","V"&amp;TEXT(ROW()-1,"000"))</f>
        <v/>
      </c>
      <c r="B369" s="19" t="n"/>
      <c r="D369" s="18">
        <f>IFERROR(VLOOKUP(C369,Alumnos!$A:$B,2,FALSE),"")</f>
        <v/>
      </c>
      <c r="F369" s="18">
        <f>IFERROR(VLOOKUP(E369,Catalogo!$A$2:$H$60,4,FALSE),"")</f>
        <v/>
      </c>
      <c r="G369" s="20">
        <f>IFERROR(VLOOKUP(E369,Catalogo!$A$2:$H$60,5,FALSE),"")</f>
        <v/>
      </c>
      <c r="H369" s="21" t="n"/>
      <c r="I369" s="20">
        <f>IF(G369="","",G369-H369)</f>
        <v/>
      </c>
      <c r="J369" s="20">
        <f>IF(A369="","",SUMIFS(Pagos!$E:$E,Pagos!$D:$D,A369))</f>
        <v/>
      </c>
      <c r="K369" s="20">
        <f>IF(A369="","",I369-J369)</f>
        <v/>
      </c>
      <c r="L369" s="22">
        <f>IF(B369="","",B369+60)</f>
        <v/>
      </c>
    </row>
    <row r="370">
      <c r="A370" s="18">
        <f>IF(C370="","","V"&amp;TEXT(ROW()-1,"000"))</f>
        <v/>
      </c>
      <c r="B370" s="19" t="n"/>
      <c r="D370" s="18">
        <f>IFERROR(VLOOKUP(C370,Alumnos!$A:$B,2,FALSE),"")</f>
        <v/>
      </c>
      <c r="F370" s="18">
        <f>IFERROR(VLOOKUP(E370,Catalogo!$A$2:$H$60,4,FALSE),"")</f>
        <v/>
      </c>
      <c r="G370" s="20">
        <f>IFERROR(VLOOKUP(E370,Catalogo!$A$2:$H$60,5,FALSE),"")</f>
        <v/>
      </c>
      <c r="H370" s="21" t="n"/>
      <c r="I370" s="20">
        <f>IF(G370="","",G370-H370)</f>
        <v/>
      </c>
      <c r="J370" s="20">
        <f>IF(A370="","",SUMIFS(Pagos!$E:$E,Pagos!$D:$D,A370))</f>
        <v/>
      </c>
      <c r="K370" s="20">
        <f>IF(A370="","",I370-J370)</f>
        <v/>
      </c>
      <c r="L370" s="22">
        <f>IF(B370="","",B370+60)</f>
        <v/>
      </c>
    </row>
    <row r="371">
      <c r="A371" s="18">
        <f>IF(C371="","","V"&amp;TEXT(ROW()-1,"000"))</f>
        <v/>
      </c>
      <c r="B371" s="19" t="n"/>
      <c r="D371" s="18">
        <f>IFERROR(VLOOKUP(C371,Alumnos!$A:$B,2,FALSE),"")</f>
        <v/>
      </c>
      <c r="F371" s="18">
        <f>IFERROR(VLOOKUP(E371,Catalogo!$A$2:$H$60,4,FALSE),"")</f>
        <v/>
      </c>
      <c r="G371" s="20">
        <f>IFERROR(VLOOKUP(E371,Catalogo!$A$2:$H$60,5,FALSE),"")</f>
        <v/>
      </c>
      <c r="H371" s="21" t="n"/>
      <c r="I371" s="20">
        <f>IF(G371="","",G371-H371)</f>
        <v/>
      </c>
      <c r="J371" s="20">
        <f>IF(A371="","",SUMIFS(Pagos!$E:$E,Pagos!$D:$D,A371))</f>
        <v/>
      </c>
      <c r="K371" s="20">
        <f>IF(A371="","",I371-J371)</f>
        <v/>
      </c>
      <c r="L371" s="22">
        <f>IF(B371="","",B371+60)</f>
        <v/>
      </c>
    </row>
    <row r="372">
      <c r="A372" s="18">
        <f>IF(C372="","","V"&amp;TEXT(ROW()-1,"000"))</f>
        <v/>
      </c>
      <c r="B372" s="19" t="n"/>
      <c r="D372" s="18">
        <f>IFERROR(VLOOKUP(C372,Alumnos!$A:$B,2,FALSE),"")</f>
        <v/>
      </c>
      <c r="F372" s="18">
        <f>IFERROR(VLOOKUP(E372,Catalogo!$A$2:$H$60,4,FALSE),"")</f>
        <v/>
      </c>
      <c r="G372" s="20">
        <f>IFERROR(VLOOKUP(E372,Catalogo!$A$2:$H$60,5,FALSE),"")</f>
        <v/>
      </c>
      <c r="H372" s="21" t="n"/>
      <c r="I372" s="20">
        <f>IF(G372="","",G372-H372)</f>
        <v/>
      </c>
      <c r="J372" s="20">
        <f>IF(A372="","",SUMIFS(Pagos!$E:$E,Pagos!$D:$D,A372))</f>
        <v/>
      </c>
      <c r="K372" s="20">
        <f>IF(A372="","",I372-J372)</f>
        <v/>
      </c>
      <c r="L372" s="22">
        <f>IF(B372="","",B372+60)</f>
        <v/>
      </c>
    </row>
    <row r="373">
      <c r="A373" s="18">
        <f>IF(C373="","","V"&amp;TEXT(ROW()-1,"000"))</f>
        <v/>
      </c>
      <c r="B373" s="19" t="n"/>
      <c r="D373" s="18">
        <f>IFERROR(VLOOKUP(C373,Alumnos!$A:$B,2,FALSE),"")</f>
        <v/>
      </c>
      <c r="F373" s="18">
        <f>IFERROR(VLOOKUP(E373,Catalogo!$A$2:$H$60,4,FALSE),"")</f>
        <v/>
      </c>
      <c r="G373" s="20">
        <f>IFERROR(VLOOKUP(E373,Catalogo!$A$2:$H$60,5,FALSE),"")</f>
        <v/>
      </c>
      <c r="H373" s="21" t="n"/>
      <c r="I373" s="20">
        <f>IF(G373="","",G373-H373)</f>
        <v/>
      </c>
      <c r="J373" s="20">
        <f>IF(A373="","",SUMIFS(Pagos!$E:$E,Pagos!$D:$D,A373))</f>
        <v/>
      </c>
      <c r="K373" s="20">
        <f>IF(A373="","",I373-J373)</f>
        <v/>
      </c>
      <c r="L373" s="22">
        <f>IF(B373="","",B373+60)</f>
        <v/>
      </c>
    </row>
    <row r="374">
      <c r="A374" s="18">
        <f>IF(C374="","","V"&amp;TEXT(ROW()-1,"000"))</f>
        <v/>
      </c>
      <c r="B374" s="19" t="n"/>
      <c r="D374" s="18">
        <f>IFERROR(VLOOKUP(C374,Alumnos!$A:$B,2,FALSE),"")</f>
        <v/>
      </c>
      <c r="F374" s="18">
        <f>IFERROR(VLOOKUP(E374,Catalogo!$A$2:$H$60,4,FALSE),"")</f>
        <v/>
      </c>
      <c r="G374" s="20">
        <f>IFERROR(VLOOKUP(E374,Catalogo!$A$2:$H$60,5,FALSE),"")</f>
        <v/>
      </c>
      <c r="H374" s="21" t="n"/>
      <c r="I374" s="20">
        <f>IF(G374="","",G374-H374)</f>
        <v/>
      </c>
      <c r="J374" s="20">
        <f>IF(A374="","",SUMIFS(Pagos!$E:$E,Pagos!$D:$D,A374))</f>
        <v/>
      </c>
      <c r="K374" s="20">
        <f>IF(A374="","",I374-J374)</f>
        <v/>
      </c>
      <c r="L374" s="22">
        <f>IF(B374="","",B374+60)</f>
        <v/>
      </c>
    </row>
    <row r="375">
      <c r="A375" s="18">
        <f>IF(C375="","","V"&amp;TEXT(ROW()-1,"000"))</f>
        <v/>
      </c>
      <c r="B375" s="19" t="n"/>
      <c r="D375" s="18">
        <f>IFERROR(VLOOKUP(C375,Alumnos!$A:$B,2,FALSE),"")</f>
        <v/>
      </c>
      <c r="F375" s="18">
        <f>IFERROR(VLOOKUP(E375,Catalogo!$A$2:$H$60,4,FALSE),"")</f>
        <v/>
      </c>
      <c r="G375" s="20">
        <f>IFERROR(VLOOKUP(E375,Catalogo!$A$2:$H$60,5,FALSE),"")</f>
        <v/>
      </c>
      <c r="H375" s="21" t="n"/>
      <c r="I375" s="20">
        <f>IF(G375="","",G375-H375)</f>
        <v/>
      </c>
      <c r="J375" s="20">
        <f>IF(A375="","",SUMIFS(Pagos!$E:$E,Pagos!$D:$D,A375))</f>
        <v/>
      </c>
      <c r="K375" s="20">
        <f>IF(A375="","",I375-J375)</f>
        <v/>
      </c>
      <c r="L375" s="22">
        <f>IF(B375="","",B375+60)</f>
        <v/>
      </c>
    </row>
    <row r="376">
      <c r="A376" s="18">
        <f>IF(C376="","","V"&amp;TEXT(ROW()-1,"000"))</f>
        <v/>
      </c>
      <c r="B376" s="19" t="n"/>
      <c r="D376" s="18">
        <f>IFERROR(VLOOKUP(C376,Alumnos!$A:$B,2,FALSE),"")</f>
        <v/>
      </c>
      <c r="F376" s="18">
        <f>IFERROR(VLOOKUP(E376,Catalogo!$A$2:$H$60,4,FALSE),"")</f>
        <v/>
      </c>
      <c r="G376" s="20">
        <f>IFERROR(VLOOKUP(E376,Catalogo!$A$2:$H$60,5,FALSE),"")</f>
        <v/>
      </c>
      <c r="H376" s="21" t="n"/>
      <c r="I376" s="20">
        <f>IF(G376="","",G376-H376)</f>
        <v/>
      </c>
      <c r="J376" s="20">
        <f>IF(A376="","",SUMIFS(Pagos!$E:$E,Pagos!$D:$D,A376))</f>
        <v/>
      </c>
      <c r="K376" s="20">
        <f>IF(A376="","",I376-J376)</f>
        <v/>
      </c>
      <c r="L376" s="22">
        <f>IF(B376="","",B376+60)</f>
        <v/>
      </c>
    </row>
    <row r="377">
      <c r="A377" s="18">
        <f>IF(C377="","","V"&amp;TEXT(ROW()-1,"000"))</f>
        <v/>
      </c>
      <c r="B377" s="19" t="n"/>
      <c r="D377" s="18">
        <f>IFERROR(VLOOKUP(C377,Alumnos!$A:$B,2,FALSE),"")</f>
        <v/>
      </c>
      <c r="F377" s="18">
        <f>IFERROR(VLOOKUP(E377,Catalogo!$A$2:$H$60,4,FALSE),"")</f>
        <v/>
      </c>
      <c r="G377" s="20">
        <f>IFERROR(VLOOKUP(E377,Catalogo!$A$2:$H$60,5,FALSE),"")</f>
        <v/>
      </c>
      <c r="H377" s="21" t="n"/>
      <c r="I377" s="20">
        <f>IF(G377="","",G377-H377)</f>
        <v/>
      </c>
      <c r="J377" s="20">
        <f>IF(A377="","",SUMIFS(Pagos!$E:$E,Pagos!$D:$D,A377))</f>
        <v/>
      </c>
      <c r="K377" s="20">
        <f>IF(A377="","",I377-J377)</f>
        <v/>
      </c>
      <c r="L377" s="22">
        <f>IF(B377="","",B377+60)</f>
        <v/>
      </c>
    </row>
    <row r="378">
      <c r="A378" s="18">
        <f>IF(C378="","","V"&amp;TEXT(ROW()-1,"000"))</f>
        <v/>
      </c>
      <c r="B378" s="19" t="n"/>
      <c r="D378" s="18">
        <f>IFERROR(VLOOKUP(C378,Alumnos!$A:$B,2,FALSE),"")</f>
        <v/>
      </c>
      <c r="F378" s="18">
        <f>IFERROR(VLOOKUP(E378,Catalogo!$A$2:$H$60,4,FALSE),"")</f>
        <v/>
      </c>
      <c r="G378" s="20">
        <f>IFERROR(VLOOKUP(E378,Catalogo!$A$2:$H$60,5,FALSE),"")</f>
        <v/>
      </c>
      <c r="H378" s="21" t="n"/>
      <c r="I378" s="20">
        <f>IF(G378="","",G378-H378)</f>
        <v/>
      </c>
      <c r="J378" s="20">
        <f>IF(A378="","",SUMIFS(Pagos!$E:$E,Pagos!$D:$D,A378))</f>
        <v/>
      </c>
      <c r="K378" s="20">
        <f>IF(A378="","",I378-J378)</f>
        <v/>
      </c>
      <c r="L378" s="22">
        <f>IF(B378="","",B378+60)</f>
        <v/>
      </c>
    </row>
    <row r="379">
      <c r="A379" s="18">
        <f>IF(C379="","","V"&amp;TEXT(ROW()-1,"000"))</f>
        <v/>
      </c>
      <c r="B379" s="19" t="n"/>
      <c r="D379" s="18">
        <f>IFERROR(VLOOKUP(C379,Alumnos!$A:$B,2,FALSE),"")</f>
        <v/>
      </c>
      <c r="F379" s="18">
        <f>IFERROR(VLOOKUP(E379,Catalogo!$A$2:$H$60,4,FALSE),"")</f>
        <v/>
      </c>
      <c r="G379" s="20">
        <f>IFERROR(VLOOKUP(E379,Catalogo!$A$2:$H$60,5,FALSE),"")</f>
        <v/>
      </c>
      <c r="H379" s="21" t="n"/>
      <c r="I379" s="20">
        <f>IF(G379="","",G379-H379)</f>
        <v/>
      </c>
      <c r="J379" s="20">
        <f>IF(A379="","",SUMIFS(Pagos!$E:$E,Pagos!$D:$D,A379))</f>
        <v/>
      </c>
      <c r="K379" s="20">
        <f>IF(A379="","",I379-J379)</f>
        <v/>
      </c>
      <c r="L379" s="22">
        <f>IF(B379="","",B379+60)</f>
        <v/>
      </c>
    </row>
    <row r="380">
      <c r="A380" s="18">
        <f>IF(C380="","","V"&amp;TEXT(ROW()-1,"000"))</f>
        <v/>
      </c>
      <c r="B380" s="19" t="n"/>
      <c r="D380" s="18">
        <f>IFERROR(VLOOKUP(C380,Alumnos!$A:$B,2,FALSE),"")</f>
        <v/>
      </c>
      <c r="F380" s="18">
        <f>IFERROR(VLOOKUP(E380,Catalogo!$A$2:$H$60,4,FALSE),"")</f>
        <v/>
      </c>
      <c r="G380" s="20">
        <f>IFERROR(VLOOKUP(E380,Catalogo!$A$2:$H$60,5,FALSE),"")</f>
        <v/>
      </c>
      <c r="H380" s="21" t="n"/>
      <c r="I380" s="20">
        <f>IF(G380="","",G380-H380)</f>
        <v/>
      </c>
      <c r="J380" s="20">
        <f>IF(A380="","",SUMIFS(Pagos!$E:$E,Pagos!$D:$D,A380))</f>
        <v/>
      </c>
      <c r="K380" s="20">
        <f>IF(A380="","",I380-J380)</f>
        <v/>
      </c>
      <c r="L380" s="22">
        <f>IF(B380="","",B380+60)</f>
        <v/>
      </c>
    </row>
    <row r="381">
      <c r="A381" s="18">
        <f>IF(C381="","","V"&amp;TEXT(ROW()-1,"000"))</f>
        <v/>
      </c>
      <c r="B381" s="19" t="n"/>
      <c r="D381" s="18">
        <f>IFERROR(VLOOKUP(C381,Alumnos!$A:$B,2,FALSE),"")</f>
        <v/>
      </c>
      <c r="F381" s="18">
        <f>IFERROR(VLOOKUP(E381,Catalogo!$A$2:$H$60,4,FALSE),"")</f>
        <v/>
      </c>
      <c r="G381" s="20">
        <f>IFERROR(VLOOKUP(E381,Catalogo!$A$2:$H$60,5,FALSE),"")</f>
        <v/>
      </c>
      <c r="H381" s="21" t="n"/>
      <c r="I381" s="20">
        <f>IF(G381="","",G381-H381)</f>
        <v/>
      </c>
      <c r="J381" s="20">
        <f>IF(A381="","",SUMIFS(Pagos!$E:$E,Pagos!$D:$D,A381))</f>
        <v/>
      </c>
      <c r="K381" s="20">
        <f>IF(A381="","",I381-J381)</f>
        <v/>
      </c>
      <c r="L381" s="22">
        <f>IF(B381="","",B381+60)</f>
        <v/>
      </c>
    </row>
    <row r="382">
      <c r="A382" s="18">
        <f>IF(C382="","","V"&amp;TEXT(ROW()-1,"000"))</f>
        <v/>
      </c>
      <c r="B382" s="19" t="n"/>
      <c r="D382" s="18">
        <f>IFERROR(VLOOKUP(C382,Alumnos!$A:$B,2,FALSE),"")</f>
        <v/>
      </c>
      <c r="F382" s="18">
        <f>IFERROR(VLOOKUP(E382,Catalogo!$A$2:$H$60,4,FALSE),"")</f>
        <v/>
      </c>
      <c r="G382" s="20">
        <f>IFERROR(VLOOKUP(E382,Catalogo!$A$2:$H$60,5,FALSE),"")</f>
        <v/>
      </c>
      <c r="H382" s="21" t="n"/>
      <c r="I382" s="20">
        <f>IF(G382="","",G382-H382)</f>
        <v/>
      </c>
      <c r="J382" s="20">
        <f>IF(A382="","",SUMIFS(Pagos!$E:$E,Pagos!$D:$D,A382))</f>
        <v/>
      </c>
      <c r="K382" s="20">
        <f>IF(A382="","",I382-J382)</f>
        <v/>
      </c>
      <c r="L382" s="22">
        <f>IF(B382="","",B382+60)</f>
        <v/>
      </c>
    </row>
    <row r="383">
      <c r="A383" s="18">
        <f>IF(C383="","","V"&amp;TEXT(ROW()-1,"000"))</f>
        <v/>
      </c>
      <c r="B383" s="19" t="n"/>
      <c r="D383" s="18">
        <f>IFERROR(VLOOKUP(C383,Alumnos!$A:$B,2,FALSE),"")</f>
        <v/>
      </c>
      <c r="F383" s="18">
        <f>IFERROR(VLOOKUP(E383,Catalogo!$A$2:$H$60,4,FALSE),"")</f>
        <v/>
      </c>
      <c r="G383" s="20">
        <f>IFERROR(VLOOKUP(E383,Catalogo!$A$2:$H$60,5,FALSE),"")</f>
        <v/>
      </c>
      <c r="H383" s="21" t="n"/>
      <c r="I383" s="20">
        <f>IF(G383="","",G383-H383)</f>
        <v/>
      </c>
      <c r="J383" s="20">
        <f>IF(A383="","",SUMIFS(Pagos!$E:$E,Pagos!$D:$D,A383))</f>
        <v/>
      </c>
      <c r="K383" s="20">
        <f>IF(A383="","",I383-J383)</f>
        <v/>
      </c>
      <c r="L383" s="22">
        <f>IF(B383="","",B383+60)</f>
        <v/>
      </c>
    </row>
    <row r="384">
      <c r="A384" s="18">
        <f>IF(C384="","","V"&amp;TEXT(ROW()-1,"000"))</f>
        <v/>
      </c>
      <c r="B384" s="19" t="n"/>
      <c r="D384" s="18">
        <f>IFERROR(VLOOKUP(C384,Alumnos!$A:$B,2,FALSE),"")</f>
        <v/>
      </c>
      <c r="F384" s="18">
        <f>IFERROR(VLOOKUP(E384,Catalogo!$A$2:$H$60,4,FALSE),"")</f>
        <v/>
      </c>
      <c r="G384" s="20">
        <f>IFERROR(VLOOKUP(E384,Catalogo!$A$2:$H$60,5,FALSE),"")</f>
        <v/>
      </c>
      <c r="H384" s="21" t="n"/>
      <c r="I384" s="20">
        <f>IF(G384="","",G384-H384)</f>
        <v/>
      </c>
      <c r="J384" s="20">
        <f>IF(A384="","",SUMIFS(Pagos!$E:$E,Pagos!$D:$D,A384))</f>
        <v/>
      </c>
      <c r="K384" s="20">
        <f>IF(A384="","",I384-J384)</f>
        <v/>
      </c>
      <c r="L384" s="22">
        <f>IF(B384="","",B384+60)</f>
        <v/>
      </c>
    </row>
    <row r="385">
      <c r="A385" s="18">
        <f>IF(C385="","","V"&amp;TEXT(ROW()-1,"000"))</f>
        <v/>
      </c>
      <c r="B385" s="19" t="n"/>
      <c r="D385" s="18">
        <f>IFERROR(VLOOKUP(C385,Alumnos!$A:$B,2,FALSE),"")</f>
        <v/>
      </c>
      <c r="F385" s="18">
        <f>IFERROR(VLOOKUP(E385,Catalogo!$A$2:$H$60,4,FALSE),"")</f>
        <v/>
      </c>
      <c r="G385" s="20">
        <f>IFERROR(VLOOKUP(E385,Catalogo!$A$2:$H$60,5,FALSE),"")</f>
        <v/>
      </c>
      <c r="H385" s="21" t="n"/>
      <c r="I385" s="20">
        <f>IF(G385="","",G385-H385)</f>
        <v/>
      </c>
      <c r="J385" s="20">
        <f>IF(A385="","",SUMIFS(Pagos!$E:$E,Pagos!$D:$D,A385))</f>
        <v/>
      </c>
      <c r="K385" s="20">
        <f>IF(A385="","",I385-J385)</f>
        <v/>
      </c>
      <c r="L385" s="22">
        <f>IF(B385="","",B385+60)</f>
        <v/>
      </c>
    </row>
    <row r="386">
      <c r="A386" s="18">
        <f>IF(C386="","","V"&amp;TEXT(ROW()-1,"000"))</f>
        <v/>
      </c>
      <c r="B386" s="19" t="n"/>
      <c r="D386" s="18">
        <f>IFERROR(VLOOKUP(C386,Alumnos!$A:$B,2,FALSE),"")</f>
        <v/>
      </c>
      <c r="F386" s="18">
        <f>IFERROR(VLOOKUP(E386,Catalogo!$A$2:$H$60,4,FALSE),"")</f>
        <v/>
      </c>
      <c r="G386" s="20">
        <f>IFERROR(VLOOKUP(E386,Catalogo!$A$2:$H$60,5,FALSE),"")</f>
        <v/>
      </c>
      <c r="H386" s="21" t="n"/>
      <c r="I386" s="20">
        <f>IF(G386="","",G386-H386)</f>
        <v/>
      </c>
      <c r="J386" s="20">
        <f>IF(A386="","",SUMIFS(Pagos!$E:$E,Pagos!$D:$D,A386))</f>
        <v/>
      </c>
      <c r="K386" s="20">
        <f>IF(A386="","",I386-J386)</f>
        <v/>
      </c>
      <c r="L386" s="22">
        <f>IF(B386="","",B386+60)</f>
        <v/>
      </c>
    </row>
    <row r="387">
      <c r="A387" s="18">
        <f>IF(C387="","","V"&amp;TEXT(ROW()-1,"000"))</f>
        <v/>
      </c>
      <c r="B387" s="19" t="n"/>
      <c r="D387" s="18">
        <f>IFERROR(VLOOKUP(C387,Alumnos!$A:$B,2,FALSE),"")</f>
        <v/>
      </c>
      <c r="F387" s="18">
        <f>IFERROR(VLOOKUP(E387,Catalogo!$A$2:$H$60,4,FALSE),"")</f>
        <v/>
      </c>
      <c r="G387" s="20">
        <f>IFERROR(VLOOKUP(E387,Catalogo!$A$2:$H$60,5,FALSE),"")</f>
        <v/>
      </c>
      <c r="H387" s="21" t="n"/>
      <c r="I387" s="20">
        <f>IF(G387="","",G387-H387)</f>
        <v/>
      </c>
      <c r="J387" s="20">
        <f>IF(A387="","",SUMIFS(Pagos!$E:$E,Pagos!$D:$D,A387))</f>
        <v/>
      </c>
      <c r="K387" s="20">
        <f>IF(A387="","",I387-J387)</f>
        <v/>
      </c>
      <c r="L387" s="22">
        <f>IF(B387="","",B387+60)</f>
        <v/>
      </c>
    </row>
    <row r="388">
      <c r="A388" s="18">
        <f>IF(C388="","","V"&amp;TEXT(ROW()-1,"000"))</f>
        <v/>
      </c>
      <c r="B388" s="19" t="n"/>
      <c r="D388" s="18">
        <f>IFERROR(VLOOKUP(C388,Alumnos!$A:$B,2,FALSE),"")</f>
        <v/>
      </c>
      <c r="F388" s="18">
        <f>IFERROR(VLOOKUP(E388,Catalogo!$A$2:$H$60,4,FALSE),"")</f>
        <v/>
      </c>
      <c r="G388" s="20">
        <f>IFERROR(VLOOKUP(E388,Catalogo!$A$2:$H$60,5,FALSE),"")</f>
        <v/>
      </c>
      <c r="H388" s="21" t="n"/>
      <c r="I388" s="20">
        <f>IF(G388="","",G388-H388)</f>
        <v/>
      </c>
      <c r="J388" s="20">
        <f>IF(A388="","",SUMIFS(Pagos!$E:$E,Pagos!$D:$D,A388))</f>
        <v/>
      </c>
      <c r="K388" s="20">
        <f>IF(A388="","",I388-J388)</f>
        <v/>
      </c>
      <c r="L388" s="22">
        <f>IF(B388="","",B388+60)</f>
        <v/>
      </c>
    </row>
    <row r="389">
      <c r="A389" s="18">
        <f>IF(C389="","","V"&amp;TEXT(ROW()-1,"000"))</f>
        <v/>
      </c>
      <c r="B389" s="19" t="n"/>
      <c r="D389" s="18">
        <f>IFERROR(VLOOKUP(C389,Alumnos!$A:$B,2,FALSE),"")</f>
        <v/>
      </c>
      <c r="F389" s="18">
        <f>IFERROR(VLOOKUP(E389,Catalogo!$A$2:$H$60,4,FALSE),"")</f>
        <v/>
      </c>
      <c r="G389" s="20">
        <f>IFERROR(VLOOKUP(E389,Catalogo!$A$2:$H$60,5,FALSE),"")</f>
        <v/>
      </c>
      <c r="H389" s="21" t="n"/>
      <c r="I389" s="20">
        <f>IF(G389="","",G389-H389)</f>
        <v/>
      </c>
      <c r="J389" s="20">
        <f>IF(A389="","",SUMIFS(Pagos!$E:$E,Pagos!$D:$D,A389))</f>
        <v/>
      </c>
      <c r="K389" s="20">
        <f>IF(A389="","",I389-J389)</f>
        <v/>
      </c>
      <c r="L389" s="22">
        <f>IF(B389="","",B389+60)</f>
        <v/>
      </c>
    </row>
    <row r="390">
      <c r="A390" s="18">
        <f>IF(C390="","","V"&amp;TEXT(ROW()-1,"000"))</f>
        <v/>
      </c>
      <c r="B390" s="19" t="n"/>
      <c r="D390" s="18">
        <f>IFERROR(VLOOKUP(C390,Alumnos!$A:$B,2,FALSE),"")</f>
        <v/>
      </c>
      <c r="F390" s="18">
        <f>IFERROR(VLOOKUP(E390,Catalogo!$A$2:$H$60,4,FALSE),"")</f>
        <v/>
      </c>
      <c r="G390" s="20">
        <f>IFERROR(VLOOKUP(E390,Catalogo!$A$2:$H$60,5,FALSE),"")</f>
        <v/>
      </c>
      <c r="H390" s="21" t="n"/>
      <c r="I390" s="20">
        <f>IF(G390="","",G390-H390)</f>
        <v/>
      </c>
      <c r="J390" s="20">
        <f>IF(A390="","",SUMIFS(Pagos!$E:$E,Pagos!$D:$D,A390))</f>
        <v/>
      </c>
      <c r="K390" s="20">
        <f>IF(A390="","",I390-J390)</f>
        <v/>
      </c>
      <c r="L390" s="22">
        <f>IF(B390="","",B390+60)</f>
        <v/>
      </c>
    </row>
    <row r="391">
      <c r="A391" s="18">
        <f>IF(C391="","","V"&amp;TEXT(ROW()-1,"000"))</f>
        <v/>
      </c>
      <c r="B391" s="19" t="n"/>
      <c r="D391" s="18">
        <f>IFERROR(VLOOKUP(C391,Alumnos!$A:$B,2,FALSE),"")</f>
        <v/>
      </c>
      <c r="F391" s="18">
        <f>IFERROR(VLOOKUP(E391,Catalogo!$A$2:$H$60,4,FALSE),"")</f>
        <v/>
      </c>
      <c r="G391" s="20">
        <f>IFERROR(VLOOKUP(E391,Catalogo!$A$2:$H$60,5,FALSE),"")</f>
        <v/>
      </c>
      <c r="H391" s="21" t="n"/>
      <c r="I391" s="20">
        <f>IF(G391="","",G391-H391)</f>
        <v/>
      </c>
      <c r="J391" s="20">
        <f>IF(A391="","",SUMIFS(Pagos!$E:$E,Pagos!$D:$D,A391))</f>
        <v/>
      </c>
      <c r="K391" s="20">
        <f>IF(A391="","",I391-J391)</f>
        <v/>
      </c>
      <c r="L391" s="22">
        <f>IF(B391="","",B391+60)</f>
        <v/>
      </c>
    </row>
    <row r="392">
      <c r="A392" s="18">
        <f>IF(C392="","","V"&amp;TEXT(ROW()-1,"000"))</f>
        <v/>
      </c>
      <c r="B392" s="19" t="n"/>
      <c r="D392" s="18">
        <f>IFERROR(VLOOKUP(C392,Alumnos!$A:$B,2,FALSE),"")</f>
        <v/>
      </c>
      <c r="F392" s="18">
        <f>IFERROR(VLOOKUP(E392,Catalogo!$A$2:$H$60,4,FALSE),"")</f>
        <v/>
      </c>
      <c r="G392" s="20">
        <f>IFERROR(VLOOKUP(E392,Catalogo!$A$2:$H$60,5,FALSE),"")</f>
        <v/>
      </c>
      <c r="H392" s="21" t="n"/>
      <c r="I392" s="20">
        <f>IF(G392="","",G392-H392)</f>
        <v/>
      </c>
      <c r="J392" s="20">
        <f>IF(A392="","",SUMIFS(Pagos!$E:$E,Pagos!$D:$D,A392))</f>
        <v/>
      </c>
      <c r="K392" s="20">
        <f>IF(A392="","",I392-J392)</f>
        <v/>
      </c>
      <c r="L392" s="22">
        <f>IF(B392="","",B392+60)</f>
        <v/>
      </c>
    </row>
    <row r="393">
      <c r="A393" s="18">
        <f>IF(C393="","","V"&amp;TEXT(ROW()-1,"000"))</f>
        <v/>
      </c>
      <c r="B393" s="19" t="n"/>
      <c r="D393" s="18">
        <f>IFERROR(VLOOKUP(C393,Alumnos!$A:$B,2,FALSE),"")</f>
        <v/>
      </c>
      <c r="F393" s="18">
        <f>IFERROR(VLOOKUP(E393,Catalogo!$A$2:$H$60,4,FALSE),"")</f>
        <v/>
      </c>
      <c r="G393" s="20">
        <f>IFERROR(VLOOKUP(E393,Catalogo!$A$2:$H$60,5,FALSE),"")</f>
        <v/>
      </c>
      <c r="H393" s="21" t="n"/>
      <c r="I393" s="20">
        <f>IF(G393="","",G393-H393)</f>
        <v/>
      </c>
      <c r="J393" s="20">
        <f>IF(A393="","",SUMIFS(Pagos!$E:$E,Pagos!$D:$D,A393))</f>
        <v/>
      </c>
      <c r="K393" s="20">
        <f>IF(A393="","",I393-J393)</f>
        <v/>
      </c>
      <c r="L393" s="22">
        <f>IF(B393="","",B393+60)</f>
        <v/>
      </c>
    </row>
    <row r="394">
      <c r="A394" s="18">
        <f>IF(C394="","","V"&amp;TEXT(ROW()-1,"000"))</f>
        <v/>
      </c>
      <c r="B394" s="19" t="n"/>
      <c r="D394" s="18">
        <f>IFERROR(VLOOKUP(C394,Alumnos!$A:$B,2,FALSE),"")</f>
        <v/>
      </c>
      <c r="F394" s="18">
        <f>IFERROR(VLOOKUP(E394,Catalogo!$A$2:$H$60,4,FALSE),"")</f>
        <v/>
      </c>
      <c r="G394" s="20">
        <f>IFERROR(VLOOKUP(E394,Catalogo!$A$2:$H$60,5,FALSE),"")</f>
        <v/>
      </c>
      <c r="H394" s="21" t="n"/>
      <c r="I394" s="20">
        <f>IF(G394="","",G394-H394)</f>
        <v/>
      </c>
      <c r="J394" s="20">
        <f>IF(A394="","",SUMIFS(Pagos!$E:$E,Pagos!$D:$D,A394))</f>
        <v/>
      </c>
      <c r="K394" s="20">
        <f>IF(A394="","",I394-J394)</f>
        <v/>
      </c>
      <c r="L394" s="22">
        <f>IF(B394="","",B394+60)</f>
        <v/>
      </c>
    </row>
    <row r="395">
      <c r="A395" s="18">
        <f>IF(C395="","","V"&amp;TEXT(ROW()-1,"000"))</f>
        <v/>
      </c>
      <c r="B395" s="19" t="n"/>
      <c r="D395" s="18">
        <f>IFERROR(VLOOKUP(C395,Alumnos!$A:$B,2,FALSE),"")</f>
        <v/>
      </c>
      <c r="F395" s="18">
        <f>IFERROR(VLOOKUP(E395,Catalogo!$A$2:$H$60,4,FALSE),"")</f>
        <v/>
      </c>
      <c r="G395" s="20">
        <f>IFERROR(VLOOKUP(E395,Catalogo!$A$2:$H$60,5,FALSE),"")</f>
        <v/>
      </c>
      <c r="H395" s="21" t="n"/>
      <c r="I395" s="20">
        <f>IF(G395="","",G395-H395)</f>
        <v/>
      </c>
      <c r="J395" s="20">
        <f>IF(A395="","",SUMIFS(Pagos!$E:$E,Pagos!$D:$D,A395))</f>
        <v/>
      </c>
      <c r="K395" s="20">
        <f>IF(A395="","",I395-J395)</f>
        <v/>
      </c>
      <c r="L395" s="22">
        <f>IF(B395="","",B395+60)</f>
        <v/>
      </c>
    </row>
    <row r="396">
      <c r="A396" s="18">
        <f>IF(C396="","","V"&amp;TEXT(ROW()-1,"000"))</f>
        <v/>
      </c>
      <c r="B396" s="19" t="n"/>
      <c r="D396" s="18">
        <f>IFERROR(VLOOKUP(C396,Alumnos!$A:$B,2,FALSE),"")</f>
        <v/>
      </c>
      <c r="F396" s="18">
        <f>IFERROR(VLOOKUP(E396,Catalogo!$A$2:$H$60,4,FALSE),"")</f>
        <v/>
      </c>
      <c r="G396" s="20">
        <f>IFERROR(VLOOKUP(E396,Catalogo!$A$2:$H$60,5,FALSE),"")</f>
        <v/>
      </c>
      <c r="H396" s="21" t="n"/>
      <c r="I396" s="20">
        <f>IF(G396="","",G396-H396)</f>
        <v/>
      </c>
      <c r="J396" s="20">
        <f>IF(A396="","",SUMIFS(Pagos!$E:$E,Pagos!$D:$D,A396))</f>
        <v/>
      </c>
      <c r="K396" s="20">
        <f>IF(A396="","",I396-J396)</f>
        <v/>
      </c>
      <c r="L396" s="22">
        <f>IF(B396="","",B396+60)</f>
        <v/>
      </c>
    </row>
    <row r="397">
      <c r="A397" s="18">
        <f>IF(C397="","","V"&amp;TEXT(ROW()-1,"000"))</f>
        <v/>
      </c>
      <c r="B397" s="19" t="n"/>
      <c r="D397" s="18">
        <f>IFERROR(VLOOKUP(C397,Alumnos!$A:$B,2,FALSE),"")</f>
        <v/>
      </c>
      <c r="F397" s="18">
        <f>IFERROR(VLOOKUP(E397,Catalogo!$A$2:$H$60,4,FALSE),"")</f>
        <v/>
      </c>
      <c r="G397" s="20">
        <f>IFERROR(VLOOKUP(E397,Catalogo!$A$2:$H$60,5,FALSE),"")</f>
        <v/>
      </c>
      <c r="H397" s="21" t="n"/>
      <c r="I397" s="20">
        <f>IF(G397="","",G397-H397)</f>
        <v/>
      </c>
      <c r="J397" s="20">
        <f>IF(A397="","",SUMIFS(Pagos!$E:$E,Pagos!$D:$D,A397))</f>
        <v/>
      </c>
      <c r="K397" s="20">
        <f>IF(A397="","",I397-J397)</f>
        <v/>
      </c>
      <c r="L397" s="22">
        <f>IF(B397="","",B397+60)</f>
        <v/>
      </c>
    </row>
    <row r="398">
      <c r="A398" s="18">
        <f>IF(C398="","","V"&amp;TEXT(ROW()-1,"000"))</f>
        <v/>
      </c>
      <c r="B398" s="19" t="n"/>
      <c r="D398" s="18">
        <f>IFERROR(VLOOKUP(C398,Alumnos!$A:$B,2,FALSE),"")</f>
        <v/>
      </c>
      <c r="F398" s="18">
        <f>IFERROR(VLOOKUP(E398,Catalogo!$A$2:$H$60,4,FALSE),"")</f>
        <v/>
      </c>
      <c r="G398" s="20">
        <f>IFERROR(VLOOKUP(E398,Catalogo!$A$2:$H$60,5,FALSE),"")</f>
        <v/>
      </c>
      <c r="H398" s="21" t="n"/>
      <c r="I398" s="20">
        <f>IF(G398="","",G398-H398)</f>
        <v/>
      </c>
      <c r="J398" s="20">
        <f>IF(A398="","",SUMIFS(Pagos!$E:$E,Pagos!$D:$D,A398))</f>
        <v/>
      </c>
      <c r="K398" s="20">
        <f>IF(A398="","",I398-J398)</f>
        <v/>
      </c>
      <c r="L398" s="22">
        <f>IF(B398="","",B398+60)</f>
        <v/>
      </c>
    </row>
    <row r="399">
      <c r="A399" s="18">
        <f>IF(C399="","","V"&amp;TEXT(ROW()-1,"000"))</f>
        <v/>
      </c>
      <c r="B399" s="19" t="n"/>
      <c r="D399" s="18">
        <f>IFERROR(VLOOKUP(C399,Alumnos!$A:$B,2,FALSE),"")</f>
        <v/>
      </c>
      <c r="F399" s="18">
        <f>IFERROR(VLOOKUP(E399,Catalogo!$A$2:$H$60,4,FALSE),"")</f>
        <v/>
      </c>
      <c r="G399" s="20">
        <f>IFERROR(VLOOKUP(E399,Catalogo!$A$2:$H$60,5,FALSE),"")</f>
        <v/>
      </c>
      <c r="H399" s="21" t="n"/>
      <c r="I399" s="20">
        <f>IF(G399="","",G399-H399)</f>
        <v/>
      </c>
      <c r="J399" s="20">
        <f>IF(A399="","",SUMIFS(Pagos!$E:$E,Pagos!$D:$D,A399))</f>
        <v/>
      </c>
      <c r="K399" s="20">
        <f>IF(A399="","",I399-J399)</f>
        <v/>
      </c>
      <c r="L399" s="22">
        <f>IF(B399="","",B399+60)</f>
        <v/>
      </c>
    </row>
    <row r="400">
      <c r="A400" s="18">
        <f>IF(C400="","","V"&amp;TEXT(ROW()-1,"000"))</f>
        <v/>
      </c>
      <c r="B400" s="19" t="n"/>
      <c r="D400" s="18">
        <f>IFERROR(VLOOKUP(C400,Alumnos!$A:$B,2,FALSE),"")</f>
        <v/>
      </c>
      <c r="F400" s="18">
        <f>IFERROR(VLOOKUP(E400,Catalogo!$A$2:$H$60,4,FALSE),"")</f>
        <v/>
      </c>
      <c r="G400" s="20">
        <f>IFERROR(VLOOKUP(E400,Catalogo!$A$2:$H$60,5,FALSE),"")</f>
        <v/>
      </c>
      <c r="H400" s="21" t="n"/>
      <c r="I400" s="20">
        <f>IF(G400="","",G400-H400)</f>
        <v/>
      </c>
      <c r="J400" s="20">
        <f>IF(A400="","",SUMIFS(Pagos!$E:$E,Pagos!$D:$D,A400))</f>
        <v/>
      </c>
      <c r="K400" s="20">
        <f>IF(A400="","",I400-J400)</f>
        <v/>
      </c>
      <c r="L400" s="22">
        <f>IF(B400="","",B400+60)</f>
        <v/>
      </c>
    </row>
    <row r="401">
      <c r="A401" s="18">
        <f>IF(C401="","","V"&amp;TEXT(ROW()-1,"000"))</f>
        <v/>
      </c>
      <c r="B401" s="19" t="n"/>
      <c r="D401" s="18">
        <f>IFERROR(VLOOKUP(C401,Alumnos!$A:$B,2,FALSE),"")</f>
        <v/>
      </c>
      <c r="F401" s="18">
        <f>IFERROR(VLOOKUP(E401,Catalogo!$A$2:$H$60,4,FALSE),"")</f>
        <v/>
      </c>
      <c r="G401" s="20">
        <f>IFERROR(VLOOKUP(E401,Catalogo!$A$2:$H$60,5,FALSE),"")</f>
        <v/>
      </c>
      <c r="H401" s="21" t="n"/>
      <c r="I401" s="20">
        <f>IF(G401="","",G401-H401)</f>
        <v/>
      </c>
      <c r="J401" s="20">
        <f>IF(A401="","",SUMIFS(Pagos!$E:$E,Pagos!$D:$D,A401))</f>
        <v/>
      </c>
      <c r="K401" s="20">
        <f>IF(A401="","",I401-J401)</f>
        <v/>
      </c>
      <c r="L401" s="22">
        <f>IF(B401="","",B401+60)</f>
        <v/>
      </c>
    </row>
    <row r="402">
      <c r="A402" s="18">
        <f>IF(C402="","","V"&amp;TEXT(ROW()-1,"000"))</f>
        <v/>
      </c>
      <c r="B402" s="19" t="n"/>
      <c r="D402" s="18">
        <f>IFERROR(VLOOKUP(C402,Alumnos!$A:$B,2,FALSE),"")</f>
        <v/>
      </c>
      <c r="F402" s="18">
        <f>IFERROR(VLOOKUP(E402,Catalogo!$A$2:$H$60,4,FALSE),"")</f>
        <v/>
      </c>
      <c r="G402" s="20">
        <f>IFERROR(VLOOKUP(E402,Catalogo!$A$2:$H$60,5,FALSE),"")</f>
        <v/>
      </c>
      <c r="H402" s="21" t="n"/>
      <c r="I402" s="20">
        <f>IF(G402="","",G402-H402)</f>
        <v/>
      </c>
      <c r="J402" s="20">
        <f>IF(A402="","",SUMIFS(Pagos!$E:$E,Pagos!$D:$D,A402))</f>
        <v/>
      </c>
      <c r="K402" s="20">
        <f>IF(A402="","",I402-J402)</f>
        <v/>
      </c>
      <c r="L402" s="22">
        <f>IF(B402="","",B402+60)</f>
        <v/>
      </c>
    </row>
    <row r="403">
      <c r="A403" s="18">
        <f>IF(C403="","","V"&amp;TEXT(ROW()-1,"000"))</f>
        <v/>
      </c>
      <c r="B403" s="19" t="n"/>
      <c r="D403" s="18">
        <f>IFERROR(VLOOKUP(C403,Alumnos!$A:$B,2,FALSE),"")</f>
        <v/>
      </c>
      <c r="F403" s="18">
        <f>IFERROR(VLOOKUP(E403,Catalogo!$A$2:$H$60,4,FALSE),"")</f>
        <v/>
      </c>
      <c r="G403" s="20">
        <f>IFERROR(VLOOKUP(E403,Catalogo!$A$2:$H$60,5,FALSE),"")</f>
        <v/>
      </c>
      <c r="H403" s="21" t="n"/>
      <c r="I403" s="20">
        <f>IF(G403="","",G403-H403)</f>
        <v/>
      </c>
      <c r="J403" s="20">
        <f>IF(A403="","",SUMIFS(Pagos!$E:$E,Pagos!$D:$D,A403))</f>
        <v/>
      </c>
      <c r="K403" s="20">
        <f>IF(A403="","",I403-J403)</f>
        <v/>
      </c>
      <c r="L403" s="22">
        <f>IF(B403="","",B403+60)</f>
        <v/>
      </c>
    </row>
    <row r="404">
      <c r="A404" s="18">
        <f>IF(C404="","","V"&amp;TEXT(ROW()-1,"000"))</f>
        <v/>
      </c>
      <c r="B404" s="19" t="n"/>
      <c r="D404" s="18">
        <f>IFERROR(VLOOKUP(C404,Alumnos!$A:$B,2,FALSE),"")</f>
        <v/>
      </c>
      <c r="F404" s="18">
        <f>IFERROR(VLOOKUP(E404,Catalogo!$A$2:$H$60,4,FALSE),"")</f>
        <v/>
      </c>
      <c r="G404" s="20">
        <f>IFERROR(VLOOKUP(E404,Catalogo!$A$2:$H$60,5,FALSE),"")</f>
        <v/>
      </c>
      <c r="H404" s="21" t="n"/>
      <c r="I404" s="20">
        <f>IF(G404="","",G404-H404)</f>
        <v/>
      </c>
      <c r="J404" s="20">
        <f>IF(A404="","",SUMIFS(Pagos!$E:$E,Pagos!$D:$D,A404))</f>
        <v/>
      </c>
      <c r="K404" s="20">
        <f>IF(A404="","",I404-J404)</f>
        <v/>
      </c>
      <c r="L404" s="22">
        <f>IF(B404="","",B404+60)</f>
        <v/>
      </c>
    </row>
    <row r="405">
      <c r="A405" s="18">
        <f>IF(C405="","","V"&amp;TEXT(ROW()-1,"000"))</f>
        <v/>
      </c>
      <c r="B405" s="19" t="n"/>
      <c r="D405" s="18">
        <f>IFERROR(VLOOKUP(C405,Alumnos!$A:$B,2,FALSE),"")</f>
        <v/>
      </c>
      <c r="F405" s="18">
        <f>IFERROR(VLOOKUP(E405,Catalogo!$A$2:$H$60,4,FALSE),"")</f>
        <v/>
      </c>
      <c r="G405" s="20">
        <f>IFERROR(VLOOKUP(E405,Catalogo!$A$2:$H$60,5,FALSE),"")</f>
        <v/>
      </c>
      <c r="H405" s="21" t="n"/>
      <c r="I405" s="20">
        <f>IF(G405="","",G405-H405)</f>
        <v/>
      </c>
      <c r="J405" s="20">
        <f>IF(A405="","",SUMIFS(Pagos!$E:$E,Pagos!$D:$D,A405))</f>
        <v/>
      </c>
      <c r="K405" s="20">
        <f>IF(A405="","",I405-J405)</f>
        <v/>
      </c>
      <c r="L405" s="22">
        <f>IF(B405="","",B405+60)</f>
        <v/>
      </c>
    </row>
    <row r="406">
      <c r="A406" s="18">
        <f>IF(C406="","","V"&amp;TEXT(ROW()-1,"000"))</f>
        <v/>
      </c>
      <c r="B406" s="19" t="n"/>
      <c r="D406" s="18">
        <f>IFERROR(VLOOKUP(C406,Alumnos!$A:$B,2,FALSE),"")</f>
        <v/>
      </c>
      <c r="F406" s="18">
        <f>IFERROR(VLOOKUP(E406,Catalogo!$A$2:$H$60,4,FALSE),"")</f>
        <v/>
      </c>
      <c r="G406" s="20">
        <f>IFERROR(VLOOKUP(E406,Catalogo!$A$2:$H$60,5,FALSE),"")</f>
        <v/>
      </c>
      <c r="H406" s="21" t="n"/>
      <c r="I406" s="20">
        <f>IF(G406="","",G406-H406)</f>
        <v/>
      </c>
      <c r="J406" s="20">
        <f>IF(A406="","",SUMIFS(Pagos!$E:$E,Pagos!$D:$D,A406))</f>
        <v/>
      </c>
      <c r="K406" s="20">
        <f>IF(A406="","",I406-J406)</f>
        <v/>
      </c>
      <c r="L406" s="22">
        <f>IF(B406="","",B406+60)</f>
        <v/>
      </c>
    </row>
    <row r="407">
      <c r="A407" s="18">
        <f>IF(C407="","","V"&amp;TEXT(ROW()-1,"000"))</f>
        <v/>
      </c>
      <c r="B407" s="19" t="n"/>
      <c r="D407" s="18">
        <f>IFERROR(VLOOKUP(C407,Alumnos!$A:$B,2,FALSE),"")</f>
        <v/>
      </c>
      <c r="F407" s="18">
        <f>IFERROR(VLOOKUP(E407,Catalogo!$A$2:$H$60,4,FALSE),"")</f>
        <v/>
      </c>
      <c r="G407" s="20">
        <f>IFERROR(VLOOKUP(E407,Catalogo!$A$2:$H$60,5,FALSE),"")</f>
        <v/>
      </c>
      <c r="H407" s="21" t="n"/>
      <c r="I407" s="20">
        <f>IF(G407="","",G407-H407)</f>
        <v/>
      </c>
      <c r="J407" s="20">
        <f>IF(A407="","",SUMIFS(Pagos!$E:$E,Pagos!$D:$D,A407))</f>
        <v/>
      </c>
      <c r="K407" s="20">
        <f>IF(A407="","",I407-J407)</f>
        <v/>
      </c>
      <c r="L407" s="22">
        <f>IF(B407="","",B407+60)</f>
        <v/>
      </c>
    </row>
    <row r="408">
      <c r="A408" s="18">
        <f>IF(C408="","","V"&amp;TEXT(ROW()-1,"000"))</f>
        <v/>
      </c>
      <c r="B408" s="19" t="n"/>
      <c r="D408" s="18">
        <f>IFERROR(VLOOKUP(C408,Alumnos!$A:$B,2,FALSE),"")</f>
        <v/>
      </c>
      <c r="F408" s="18">
        <f>IFERROR(VLOOKUP(E408,Catalogo!$A$2:$H$60,4,FALSE),"")</f>
        <v/>
      </c>
      <c r="G408" s="20">
        <f>IFERROR(VLOOKUP(E408,Catalogo!$A$2:$H$60,5,FALSE),"")</f>
        <v/>
      </c>
      <c r="H408" s="21" t="n"/>
      <c r="I408" s="20">
        <f>IF(G408="","",G408-H408)</f>
        <v/>
      </c>
      <c r="J408" s="20">
        <f>IF(A408="","",SUMIFS(Pagos!$E:$E,Pagos!$D:$D,A408))</f>
        <v/>
      </c>
      <c r="K408" s="20">
        <f>IF(A408="","",I408-J408)</f>
        <v/>
      </c>
      <c r="L408" s="22">
        <f>IF(B408="","",B408+60)</f>
        <v/>
      </c>
    </row>
    <row r="409">
      <c r="A409" s="18">
        <f>IF(C409="","","V"&amp;TEXT(ROW()-1,"000"))</f>
        <v/>
      </c>
      <c r="B409" s="19" t="n"/>
      <c r="D409" s="18">
        <f>IFERROR(VLOOKUP(C409,Alumnos!$A:$B,2,FALSE),"")</f>
        <v/>
      </c>
      <c r="F409" s="18">
        <f>IFERROR(VLOOKUP(E409,Catalogo!$A$2:$H$60,4,FALSE),"")</f>
        <v/>
      </c>
      <c r="G409" s="20">
        <f>IFERROR(VLOOKUP(E409,Catalogo!$A$2:$H$60,5,FALSE),"")</f>
        <v/>
      </c>
      <c r="H409" s="21" t="n"/>
      <c r="I409" s="20">
        <f>IF(G409="","",G409-H409)</f>
        <v/>
      </c>
      <c r="J409" s="20">
        <f>IF(A409="","",SUMIFS(Pagos!$E:$E,Pagos!$D:$D,A409))</f>
        <v/>
      </c>
      <c r="K409" s="20">
        <f>IF(A409="","",I409-J409)</f>
        <v/>
      </c>
      <c r="L409" s="22">
        <f>IF(B409="","",B409+60)</f>
        <v/>
      </c>
    </row>
    <row r="410">
      <c r="A410" s="18">
        <f>IF(C410="","","V"&amp;TEXT(ROW()-1,"000"))</f>
        <v/>
      </c>
      <c r="B410" s="19" t="n"/>
      <c r="D410" s="18">
        <f>IFERROR(VLOOKUP(C410,Alumnos!$A:$B,2,FALSE),"")</f>
        <v/>
      </c>
      <c r="F410" s="18">
        <f>IFERROR(VLOOKUP(E410,Catalogo!$A$2:$H$60,4,FALSE),"")</f>
        <v/>
      </c>
      <c r="G410" s="20">
        <f>IFERROR(VLOOKUP(E410,Catalogo!$A$2:$H$60,5,FALSE),"")</f>
        <v/>
      </c>
      <c r="H410" s="21" t="n"/>
      <c r="I410" s="20">
        <f>IF(G410="","",G410-H410)</f>
        <v/>
      </c>
      <c r="J410" s="20">
        <f>IF(A410="","",SUMIFS(Pagos!$E:$E,Pagos!$D:$D,A410))</f>
        <v/>
      </c>
      <c r="K410" s="20">
        <f>IF(A410="","",I410-J410)</f>
        <v/>
      </c>
      <c r="L410" s="22">
        <f>IF(B410="","",B410+60)</f>
        <v/>
      </c>
    </row>
    <row r="411">
      <c r="A411" s="18">
        <f>IF(C411="","","V"&amp;TEXT(ROW()-1,"000"))</f>
        <v/>
      </c>
      <c r="B411" s="19" t="n"/>
      <c r="D411" s="18">
        <f>IFERROR(VLOOKUP(C411,Alumnos!$A:$B,2,FALSE),"")</f>
        <v/>
      </c>
      <c r="F411" s="18">
        <f>IFERROR(VLOOKUP(E411,Catalogo!$A$2:$H$60,4,FALSE),"")</f>
        <v/>
      </c>
      <c r="G411" s="20">
        <f>IFERROR(VLOOKUP(E411,Catalogo!$A$2:$H$60,5,FALSE),"")</f>
        <v/>
      </c>
      <c r="H411" s="21" t="n"/>
      <c r="I411" s="20">
        <f>IF(G411="","",G411-H411)</f>
        <v/>
      </c>
      <c r="J411" s="20">
        <f>IF(A411="","",SUMIFS(Pagos!$E:$E,Pagos!$D:$D,A411))</f>
        <v/>
      </c>
      <c r="K411" s="20">
        <f>IF(A411="","",I411-J411)</f>
        <v/>
      </c>
      <c r="L411" s="22">
        <f>IF(B411="","",B411+60)</f>
        <v/>
      </c>
    </row>
    <row r="412">
      <c r="A412" s="18">
        <f>IF(C412="","","V"&amp;TEXT(ROW()-1,"000"))</f>
        <v/>
      </c>
      <c r="B412" s="19" t="n"/>
      <c r="D412" s="18">
        <f>IFERROR(VLOOKUP(C412,Alumnos!$A:$B,2,FALSE),"")</f>
        <v/>
      </c>
      <c r="F412" s="18">
        <f>IFERROR(VLOOKUP(E412,Catalogo!$A$2:$H$60,4,FALSE),"")</f>
        <v/>
      </c>
      <c r="G412" s="20">
        <f>IFERROR(VLOOKUP(E412,Catalogo!$A$2:$H$60,5,FALSE),"")</f>
        <v/>
      </c>
      <c r="H412" s="21" t="n"/>
      <c r="I412" s="20">
        <f>IF(G412="","",G412-H412)</f>
        <v/>
      </c>
      <c r="J412" s="20">
        <f>IF(A412="","",SUMIFS(Pagos!$E:$E,Pagos!$D:$D,A412))</f>
        <v/>
      </c>
      <c r="K412" s="20">
        <f>IF(A412="","",I412-J412)</f>
        <v/>
      </c>
      <c r="L412" s="22">
        <f>IF(B412="","",B412+60)</f>
        <v/>
      </c>
    </row>
    <row r="413">
      <c r="A413" s="18">
        <f>IF(C413="","","V"&amp;TEXT(ROW()-1,"000"))</f>
        <v/>
      </c>
      <c r="B413" s="19" t="n"/>
      <c r="D413" s="18">
        <f>IFERROR(VLOOKUP(C413,Alumnos!$A:$B,2,FALSE),"")</f>
        <v/>
      </c>
      <c r="F413" s="18">
        <f>IFERROR(VLOOKUP(E413,Catalogo!$A$2:$H$60,4,FALSE),"")</f>
        <v/>
      </c>
      <c r="G413" s="20">
        <f>IFERROR(VLOOKUP(E413,Catalogo!$A$2:$H$60,5,FALSE),"")</f>
        <v/>
      </c>
      <c r="H413" s="21" t="n"/>
      <c r="I413" s="20">
        <f>IF(G413="","",G413-H413)</f>
        <v/>
      </c>
      <c r="J413" s="20">
        <f>IF(A413="","",SUMIFS(Pagos!$E:$E,Pagos!$D:$D,A413))</f>
        <v/>
      </c>
      <c r="K413" s="20">
        <f>IF(A413="","",I413-J413)</f>
        <v/>
      </c>
      <c r="L413" s="22">
        <f>IF(B413="","",B413+60)</f>
        <v/>
      </c>
    </row>
    <row r="414">
      <c r="A414" s="18">
        <f>IF(C414="","","V"&amp;TEXT(ROW()-1,"000"))</f>
        <v/>
      </c>
      <c r="B414" s="19" t="n"/>
      <c r="D414" s="18">
        <f>IFERROR(VLOOKUP(C414,Alumnos!$A:$B,2,FALSE),"")</f>
        <v/>
      </c>
      <c r="F414" s="18">
        <f>IFERROR(VLOOKUP(E414,Catalogo!$A$2:$H$60,4,FALSE),"")</f>
        <v/>
      </c>
      <c r="G414" s="20">
        <f>IFERROR(VLOOKUP(E414,Catalogo!$A$2:$H$60,5,FALSE),"")</f>
        <v/>
      </c>
      <c r="H414" s="21" t="n"/>
      <c r="I414" s="20">
        <f>IF(G414="","",G414-H414)</f>
        <v/>
      </c>
      <c r="J414" s="20">
        <f>IF(A414="","",SUMIFS(Pagos!$E:$E,Pagos!$D:$D,A414))</f>
        <v/>
      </c>
      <c r="K414" s="20">
        <f>IF(A414="","",I414-J414)</f>
        <v/>
      </c>
      <c r="L414" s="22">
        <f>IF(B414="","",B414+60)</f>
        <v/>
      </c>
    </row>
    <row r="415">
      <c r="A415" s="18">
        <f>IF(C415="","","V"&amp;TEXT(ROW()-1,"000"))</f>
        <v/>
      </c>
      <c r="B415" s="19" t="n"/>
      <c r="D415" s="18">
        <f>IFERROR(VLOOKUP(C415,Alumnos!$A:$B,2,FALSE),"")</f>
        <v/>
      </c>
      <c r="F415" s="18">
        <f>IFERROR(VLOOKUP(E415,Catalogo!$A$2:$H$60,4,FALSE),"")</f>
        <v/>
      </c>
      <c r="G415" s="20">
        <f>IFERROR(VLOOKUP(E415,Catalogo!$A$2:$H$60,5,FALSE),"")</f>
        <v/>
      </c>
      <c r="H415" s="21" t="n"/>
      <c r="I415" s="20">
        <f>IF(G415="","",G415-H415)</f>
        <v/>
      </c>
      <c r="J415" s="20">
        <f>IF(A415="","",SUMIFS(Pagos!$E:$E,Pagos!$D:$D,A415))</f>
        <v/>
      </c>
      <c r="K415" s="20">
        <f>IF(A415="","",I415-J415)</f>
        <v/>
      </c>
      <c r="L415" s="22">
        <f>IF(B415="","",B415+60)</f>
        <v/>
      </c>
    </row>
    <row r="416">
      <c r="A416" s="18">
        <f>IF(C416="","","V"&amp;TEXT(ROW()-1,"000"))</f>
        <v/>
      </c>
      <c r="B416" s="19" t="n"/>
      <c r="D416" s="18">
        <f>IFERROR(VLOOKUP(C416,Alumnos!$A:$B,2,FALSE),"")</f>
        <v/>
      </c>
      <c r="F416" s="18">
        <f>IFERROR(VLOOKUP(E416,Catalogo!$A$2:$H$60,4,FALSE),"")</f>
        <v/>
      </c>
      <c r="G416" s="20">
        <f>IFERROR(VLOOKUP(E416,Catalogo!$A$2:$H$60,5,FALSE),"")</f>
        <v/>
      </c>
      <c r="H416" s="21" t="n"/>
      <c r="I416" s="20">
        <f>IF(G416="","",G416-H416)</f>
        <v/>
      </c>
      <c r="J416" s="20">
        <f>IF(A416="","",SUMIFS(Pagos!$E:$E,Pagos!$D:$D,A416))</f>
        <v/>
      </c>
      <c r="K416" s="20">
        <f>IF(A416="","",I416-J416)</f>
        <v/>
      </c>
      <c r="L416" s="22">
        <f>IF(B416="","",B416+60)</f>
        <v/>
      </c>
    </row>
    <row r="417">
      <c r="A417" s="18">
        <f>IF(C417="","","V"&amp;TEXT(ROW()-1,"000"))</f>
        <v/>
      </c>
      <c r="B417" s="19" t="n"/>
      <c r="D417" s="18">
        <f>IFERROR(VLOOKUP(C417,Alumnos!$A:$B,2,FALSE),"")</f>
        <v/>
      </c>
      <c r="F417" s="18">
        <f>IFERROR(VLOOKUP(E417,Catalogo!$A$2:$H$60,4,FALSE),"")</f>
        <v/>
      </c>
      <c r="G417" s="20">
        <f>IFERROR(VLOOKUP(E417,Catalogo!$A$2:$H$60,5,FALSE),"")</f>
        <v/>
      </c>
      <c r="H417" s="21" t="n"/>
      <c r="I417" s="20">
        <f>IF(G417="","",G417-H417)</f>
        <v/>
      </c>
      <c r="J417" s="20">
        <f>IF(A417="","",SUMIFS(Pagos!$E:$E,Pagos!$D:$D,A417))</f>
        <v/>
      </c>
      <c r="K417" s="20">
        <f>IF(A417="","",I417-J417)</f>
        <v/>
      </c>
      <c r="L417" s="22">
        <f>IF(B417="","",B417+60)</f>
        <v/>
      </c>
    </row>
    <row r="418">
      <c r="A418" s="18">
        <f>IF(C418="","","V"&amp;TEXT(ROW()-1,"000"))</f>
        <v/>
      </c>
      <c r="B418" s="19" t="n"/>
      <c r="D418" s="18">
        <f>IFERROR(VLOOKUP(C418,Alumnos!$A:$B,2,FALSE),"")</f>
        <v/>
      </c>
      <c r="F418" s="18">
        <f>IFERROR(VLOOKUP(E418,Catalogo!$A$2:$H$60,4,FALSE),"")</f>
        <v/>
      </c>
      <c r="G418" s="20">
        <f>IFERROR(VLOOKUP(E418,Catalogo!$A$2:$H$60,5,FALSE),"")</f>
        <v/>
      </c>
      <c r="H418" s="21" t="n"/>
      <c r="I418" s="20">
        <f>IF(G418="","",G418-H418)</f>
        <v/>
      </c>
      <c r="J418" s="20">
        <f>IF(A418="","",SUMIFS(Pagos!$E:$E,Pagos!$D:$D,A418))</f>
        <v/>
      </c>
      <c r="K418" s="20">
        <f>IF(A418="","",I418-J418)</f>
        <v/>
      </c>
      <c r="L418" s="22">
        <f>IF(B418="","",B418+60)</f>
        <v/>
      </c>
    </row>
    <row r="419">
      <c r="A419" s="18">
        <f>IF(C419="","","V"&amp;TEXT(ROW()-1,"000"))</f>
        <v/>
      </c>
      <c r="B419" s="19" t="n"/>
      <c r="D419" s="18">
        <f>IFERROR(VLOOKUP(C419,Alumnos!$A:$B,2,FALSE),"")</f>
        <v/>
      </c>
      <c r="F419" s="18">
        <f>IFERROR(VLOOKUP(E419,Catalogo!$A$2:$H$60,4,FALSE),"")</f>
        <v/>
      </c>
      <c r="G419" s="20">
        <f>IFERROR(VLOOKUP(E419,Catalogo!$A$2:$H$60,5,FALSE),"")</f>
        <v/>
      </c>
      <c r="H419" s="21" t="n"/>
      <c r="I419" s="20">
        <f>IF(G419="","",G419-H419)</f>
        <v/>
      </c>
      <c r="J419" s="20">
        <f>IF(A419="","",SUMIFS(Pagos!$E:$E,Pagos!$D:$D,A419))</f>
        <v/>
      </c>
      <c r="K419" s="20">
        <f>IF(A419="","",I419-J419)</f>
        <v/>
      </c>
      <c r="L419" s="22">
        <f>IF(B419="","",B419+60)</f>
        <v/>
      </c>
    </row>
    <row r="420">
      <c r="A420" s="18">
        <f>IF(C420="","","V"&amp;TEXT(ROW()-1,"000"))</f>
        <v/>
      </c>
      <c r="B420" s="19" t="n"/>
      <c r="D420" s="18">
        <f>IFERROR(VLOOKUP(C420,Alumnos!$A:$B,2,FALSE),"")</f>
        <v/>
      </c>
      <c r="F420" s="18">
        <f>IFERROR(VLOOKUP(E420,Catalogo!$A$2:$H$60,4,FALSE),"")</f>
        <v/>
      </c>
      <c r="G420" s="20">
        <f>IFERROR(VLOOKUP(E420,Catalogo!$A$2:$H$60,5,FALSE),"")</f>
        <v/>
      </c>
      <c r="H420" s="21" t="n"/>
      <c r="I420" s="20">
        <f>IF(G420="","",G420-H420)</f>
        <v/>
      </c>
      <c r="J420" s="20">
        <f>IF(A420="","",SUMIFS(Pagos!$E:$E,Pagos!$D:$D,A420))</f>
        <v/>
      </c>
      <c r="K420" s="20">
        <f>IF(A420="","",I420-J420)</f>
        <v/>
      </c>
      <c r="L420" s="22">
        <f>IF(B420="","",B420+60)</f>
        <v/>
      </c>
    </row>
    <row r="421">
      <c r="A421" s="18">
        <f>IF(C421="","","V"&amp;TEXT(ROW()-1,"000"))</f>
        <v/>
      </c>
      <c r="B421" s="19" t="n"/>
      <c r="D421" s="18">
        <f>IFERROR(VLOOKUP(C421,Alumnos!$A:$B,2,FALSE),"")</f>
        <v/>
      </c>
      <c r="F421" s="18">
        <f>IFERROR(VLOOKUP(E421,Catalogo!$A$2:$H$60,4,FALSE),"")</f>
        <v/>
      </c>
      <c r="G421" s="20">
        <f>IFERROR(VLOOKUP(E421,Catalogo!$A$2:$H$60,5,FALSE),"")</f>
        <v/>
      </c>
      <c r="H421" s="21" t="n"/>
      <c r="I421" s="20">
        <f>IF(G421="","",G421-H421)</f>
        <v/>
      </c>
      <c r="J421" s="20">
        <f>IF(A421="","",SUMIFS(Pagos!$E:$E,Pagos!$D:$D,A421))</f>
        <v/>
      </c>
      <c r="K421" s="20">
        <f>IF(A421="","",I421-J421)</f>
        <v/>
      </c>
      <c r="L421" s="22">
        <f>IF(B421="","",B421+60)</f>
        <v/>
      </c>
    </row>
    <row r="422">
      <c r="A422" s="18">
        <f>IF(C422="","","V"&amp;TEXT(ROW()-1,"000"))</f>
        <v/>
      </c>
      <c r="B422" s="19" t="n"/>
      <c r="D422" s="18">
        <f>IFERROR(VLOOKUP(C422,Alumnos!$A:$B,2,FALSE),"")</f>
        <v/>
      </c>
      <c r="F422" s="18">
        <f>IFERROR(VLOOKUP(E422,Catalogo!$A$2:$H$60,4,FALSE),"")</f>
        <v/>
      </c>
      <c r="G422" s="20">
        <f>IFERROR(VLOOKUP(E422,Catalogo!$A$2:$H$60,5,FALSE),"")</f>
        <v/>
      </c>
      <c r="H422" s="21" t="n"/>
      <c r="I422" s="20">
        <f>IF(G422="","",G422-H422)</f>
        <v/>
      </c>
      <c r="J422" s="20">
        <f>IF(A422="","",SUMIFS(Pagos!$E:$E,Pagos!$D:$D,A422))</f>
        <v/>
      </c>
      <c r="K422" s="20">
        <f>IF(A422="","",I422-J422)</f>
        <v/>
      </c>
      <c r="L422" s="22">
        <f>IF(B422="","",B422+60)</f>
        <v/>
      </c>
    </row>
    <row r="423">
      <c r="A423" s="18">
        <f>IF(C423="","","V"&amp;TEXT(ROW()-1,"000"))</f>
        <v/>
      </c>
      <c r="B423" s="19" t="n"/>
      <c r="D423" s="18">
        <f>IFERROR(VLOOKUP(C423,Alumnos!$A:$B,2,FALSE),"")</f>
        <v/>
      </c>
      <c r="F423" s="18">
        <f>IFERROR(VLOOKUP(E423,Catalogo!$A$2:$H$60,4,FALSE),"")</f>
        <v/>
      </c>
      <c r="G423" s="20">
        <f>IFERROR(VLOOKUP(E423,Catalogo!$A$2:$H$60,5,FALSE),"")</f>
        <v/>
      </c>
      <c r="H423" s="21" t="n"/>
      <c r="I423" s="20">
        <f>IF(G423="","",G423-H423)</f>
        <v/>
      </c>
      <c r="J423" s="20">
        <f>IF(A423="","",SUMIFS(Pagos!$E:$E,Pagos!$D:$D,A423))</f>
        <v/>
      </c>
      <c r="K423" s="20">
        <f>IF(A423="","",I423-J423)</f>
        <v/>
      </c>
      <c r="L423" s="22">
        <f>IF(B423="","",B423+60)</f>
        <v/>
      </c>
    </row>
    <row r="424">
      <c r="A424" s="18">
        <f>IF(C424="","","V"&amp;TEXT(ROW()-1,"000"))</f>
        <v/>
      </c>
      <c r="B424" s="19" t="n"/>
      <c r="D424" s="18">
        <f>IFERROR(VLOOKUP(C424,Alumnos!$A:$B,2,FALSE),"")</f>
        <v/>
      </c>
      <c r="F424" s="18">
        <f>IFERROR(VLOOKUP(E424,Catalogo!$A$2:$H$60,4,FALSE),"")</f>
        <v/>
      </c>
      <c r="G424" s="20">
        <f>IFERROR(VLOOKUP(E424,Catalogo!$A$2:$H$60,5,FALSE),"")</f>
        <v/>
      </c>
      <c r="H424" s="21" t="n"/>
      <c r="I424" s="20">
        <f>IF(G424="","",G424-H424)</f>
        <v/>
      </c>
      <c r="J424" s="20">
        <f>IF(A424="","",SUMIFS(Pagos!$E:$E,Pagos!$D:$D,A424))</f>
        <v/>
      </c>
      <c r="K424" s="20">
        <f>IF(A424="","",I424-J424)</f>
        <v/>
      </c>
      <c r="L424" s="22">
        <f>IF(B424="","",B424+60)</f>
        <v/>
      </c>
    </row>
    <row r="425">
      <c r="A425" s="18">
        <f>IF(C425="","","V"&amp;TEXT(ROW()-1,"000"))</f>
        <v/>
      </c>
      <c r="B425" s="19" t="n"/>
      <c r="D425" s="18">
        <f>IFERROR(VLOOKUP(C425,Alumnos!$A:$B,2,FALSE),"")</f>
        <v/>
      </c>
      <c r="F425" s="18">
        <f>IFERROR(VLOOKUP(E425,Catalogo!$A$2:$H$60,4,FALSE),"")</f>
        <v/>
      </c>
      <c r="G425" s="20">
        <f>IFERROR(VLOOKUP(E425,Catalogo!$A$2:$H$60,5,FALSE),"")</f>
        <v/>
      </c>
      <c r="H425" s="21" t="n"/>
      <c r="I425" s="20">
        <f>IF(G425="","",G425-H425)</f>
        <v/>
      </c>
      <c r="J425" s="20">
        <f>IF(A425="","",SUMIFS(Pagos!$E:$E,Pagos!$D:$D,A425))</f>
        <v/>
      </c>
      <c r="K425" s="20">
        <f>IF(A425="","",I425-J425)</f>
        <v/>
      </c>
      <c r="L425" s="22">
        <f>IF(B425="","",B425+60)</f>
        <v/>
      </c>
    </row>
    <row r="426">
      <c r="A426" s="18">
        <f>IF(C426="","","V"&amp;TEXT(ROW()-1,"000"))</f>
        <v/>
      </c>
      <c r="B426" s="19" t="n"/>
      <c r="D426" s="18">
        <f>IFERROR(VLOOKUP(C426,Alumnos!$A:$B,2,FALSE),"")</f>
        <v/>
      </c>
      <c r="F426" s="18">
        <f>IFERROR(VLOOKUP(E426,Catalogo!$A$2:$H$60,4,FALSE),"")</f>
        <v/>
      </c>
      <c r="G426" s="20">
        <f>IFERROR(VLOOKUP(E426,Catalogo!$A$2:$H$60,5,FALSE),"")</f>
        <v/>
      </c>
      <c r="H426" s="21" t="n"/>
      <c r="I426" s="20">
        <f>IF(G426="","",G426-H426)</f>
        <v/>
      </c>
      <c r="J426" s="20">
        <f>IF(A426="","",SUMIFS(Pagos!$E:$E,Pagos!$D:$D,A426))</f>
        <v/>
      </c>
      <c r="K426" s="20">
        <f>IF(A426="","",I426-J426)</f>
        <v/>
      </c>
      <c r="L426" s="22">
        <f>IF(B426="","",B426+60)</f>
        <v/>
      </c>
    </row>
    <row r="427">
      <c r="A427" s="18">
        <f>IF(C427="","","V"&amp;TEXT(ROW()-1,"000"))</f>
        <v/>
      </c>
      <c r="B427" s="19" t="n"/>
      <c r="D427" s="18">
        <f>IFERROR(VLOOKUP(C427,Alumnos!$A:$B,2,FALSE),"")</f>
        <v/>
      </c>
      <c r="F427" s="18">
        <f>IFERROR(VLOOKUP(E427,Catalogo!$A$2:$H$60,4,FALSE),"")</f>
        <v/>
      </c>
      <c r="G427" s="20">
        <f>IFERROR(VLOOKUP(E427,Catalogo!$A$2:$H$60,5,FALSE),"")</f>
        <v/>
      </c>
      <c r="H427" s="21" t="n"/>
      <c r="I427" s="20">
        <f>IF(G427="","",G427-H427)</f>
        <v/>
      </c>
      <c r="J427" s="20">
        <f>IF(A427="","",SUMIFS(Pagos!$E:$E,Pagos!$D:$D,A427))</f>
        <v/>
      </c>
      <c r="K427" s="20">
        <f>IF(A427="","",I427-J427)</f>
        <v/>
      </c>
      <c r="L427" s="22">
        <f>IF(B427="","",B427+60)</f>
        <v/>
      </c>
    </row>
    <row r="428">
      <c r="A428" s="18">
        <f>IF(C428="","","V"&amp;TEXT(ROW()-1,"000"))</f>
        <v/>
      </c>
      <c r="B428" s="19" t="n"/>
      <c r="D428" s="18">
        <f>IFERROR(VLOOKUP(C428,Alumnos!$A:$B,2,FALSE),"")</f>
        <v/>
      </c>
      <c r="F428" s="18">
        <f>IFERROR(VLOOKUP(E428,Catalogo!$A$2:$H$60,4,FALSE),"")</f>
        <v/>
      </c>
      <c r="G428" s="20">
        <f>IFERROR(VLOOKUP(E428,Catalogo!$A$2:$H$60,5,FALSE),"")</f>
        <v/>
      </c>
      <c r="H428" s="21" t="n"/>
      <c r="I428" s="20">
        <f>IF(G428="","",G428-H428)</f>
        <v/>
      </c>
      <c r="J428" s="20">
        <f>IF(A428="","",SUMIFS(Pagos!$E:$E,Pagos!$D:$D,A428))</f>
        <v/>
      </c>
      <c r="K428" s="20">
        <f>IF(A428="","",I428-J428)</f>
        <v/>
      </c>
      <c r="L428" s="22">
        <f>IF(B428="","",B428+60)</f>
        <v/>
      </c>
    </row>
    <row r="429">
      <c r="A429" s="18">
        <f>IF(C429="","","V"&amp;TEXT(ROW()-1,"000"))</f>
        <v/>
      </c>
      <c r="B429" s="19" t="n"/>
      <c r="D429" s="18">
        <f>IFERROR(VLOOKUP(C429,Alumnos!$A:$B,2,FALSE),"")</f>
        <v/>
      </c>
      <c r="F429" s="18">
        <f>IFERROR(VLOOKUP(E429,Catalogo!$A$2:$H$60,4,FALSE),"")</f>
        <v/>
      </c>
      <c r="G429" s="20">
        <f>IFERROR(VLOOKUP(E429,Catalogo!$A$2:$H$60,5,FALSE),"")</f>
        <v/>
      </c>
      <c r="H429" s="21" t="n"/>
      <c r="I429" s="20">
        <f>IF(G429="","",G429-H429)</f>
        <v/>
      </c>
      <c r="J429" s="20">
        <f>IF(A429="","",SUMIFS(Pagos!$E:$E,Pagos!$D:$D,A429))</f>
        <v/>
      </c>
      <c r="K429" s="20">
        <f>IF(A429="","",I429-J429)</f>
        <v/>
      </c>
      <c r="L429" s="22">
        <f>IF(B429="","",B429+60)</f>
        <v/>
      </c>
    </row>
    <row r="430">
      <c r="A430" s="18">
        <f>IF(C430="","","V"&amp;TEXT(ROW()-1,"000"))</f>
        <v/>
      </c>
      <c r="B430" s="19" t="n"/>
      <c r="D430" s="18">
        <f>IFERROR(VLOOKUP(C430,Alumnos!$A:$B,2,FALSE),"")</f>
        <v/>
      </c>
      <c r="F430" s="18">
        <f>IFERROR(VLOOKUP(E430,Catalogo!$A$2:$H$60,4,FALSE),"")</f>
        <v/>
      </c>
      <c r="G430" s="20">
        <f>IFERROR(VLOOKUP(E430,Catalogo!$A$2:$H$60,5,FALSE),"")</f>
        <v/>
      </c>
      <c r="H430" s="21" t="n"/>
      <c r="I430" s="20">
        <f>IF(G430="","",G430-H430)</f>
        <v/>
      </c>
      <c r="J430" s="20">
        <f>IF(A430="","",SUMIFS(Pagos!$E:$E,Pagos!$D:$D,A430))</f>
        <v/>
      </c>
      <c r="K430" s="20">
        <f>IF(A430="","",I430-J430)</f>
        <v/>
      </c>
      <c r="L430" s="22">
        <f>IF(B430="","",B430+60)</f>
        <v/>
      </c>
    </row>
    <row r="431">
      <c r="A431" s="18">
        <f>IF(C431="","","V"&amp;TEXT(ROW()-1,"000"))</f>
        <v/>
      </c>
      <c r="B431" s="19" t="n"/>
      <c r="D431" s="18">
        <f>IFERROR(VLOOKUP(C431,Alumnos!$A:$B,2,FALSE),"")</f>
        <v/>
      </c>
      <c r="F431" s="18">
        <f>IFERROR(VLOOKUP(E431,Catalogo!$A$2:$H$60,4,FALSE),"")</f>
        <v/>
      </c>
      <c r="G431" s="20">
        <f>IFERROR(VLOOKUP(E431,Catalogo!$A$2:$H$60,5,FALSE),"")</f>
        <v/>
      </c>
      <c r="H431" s="21" t="n"/>
      <c r="I431" s="20">
        <f>IF(G431="","",G431-H431)</f>
        <v/>
      </c>
      <c r="J431" s="20">
        <f>IF(A431="","",SUMIFS(Pagos!$E:$E,Pagos!$D:$D,A431))</f>
        <v/>
      </c>
      <c r="K431" s="20">
        <f>IF(A431="","",I431-J431)</f>
        <v/>
      </c>
      <c r="L431" s="22">
        <f>IF(B431="","",B431+60)</f>
        <v/>
      </c>
    </row>
    <row r="432">
      <c r="A432" s="18">
        <f>IF(C432="","","V"&amp;TEXT(ROW()-1,"000"))</f>
        <v/>
      </c>
      <c r="B432" s="19" t="n"/>
      <c r="D432" s="18">
        <f>IFERROR(VLOOKUP(C432,Alumnos!$A:$B,2,FALSE),"")</f>
        <v/>
      </c>
      <c r="F432" s="18">
        <f>IFERROR(VLOOKUP(E432,Catalogo!$A$2:$H$60,4,FALSE),"")</f>
        <v/>
      </c>
      <c r="G432" s="20">
        <f>IFERROR(VLOOKUP(E432,Catalogo!$A$2:$H$60,5,FALSE),"")</f>
        <v/>
      </c>
      <c r="H432" s="21" t="n"/>
      <c r="I432" s="20">
        <f>IF(G432="","",G432-H432)</f>
        <v/>
      </c>
      <c r="J432" s="20">
        <f>IF(A432="","",SUMIFS(Pagos!$E:$E,Pagos!$D:$D,A432))</f>
        <v/>
      </c>
      <c r="K432" s="20">
        <f>IF(A432="","",I432-J432)</f>
        <v/>
      </c>
      <c r="L432" s="22">
        <f>IF(B432="","",B432+60)</f>
        <v/>
      </c>
    </row>
    <row r="433">
      <c r="A433" s="18">
        <f>IF(C433="","","V"&amp;TEXT(ROW()-1,"000"))</f>
        <v/>
      </c>
      <c r="B433" s="19" t="n"/>
      <c r="D433" s="18">
        <f>IFERROR(VLOOKUP(C433,Alumnos!$A:$B,2,FALSE),"")</f>
        <v/>
      </c>
      <c r="F433" s="18">
        <f>IFERROR(VLOOKUP(E433,Catalogo!$A$2:$H$60,4,FALSE),"")</f>
        <v/>
      </c>
      <c r="G433" s="20">
        <f>IFERROR(VLOOKUP(E433,Catalogo!$A$2:$H$60,5,FALSE),"")</f>
        <v/>
      </c>
      <c r="H433" s="21" t="n"/>
      <c r="I433" s="20">
        <f>IF(G433="","",G433-H433)</f>
        <v/>
      </c>
      <c r="J433" s="20">
        <f>IF(A433="","",SUMIFS(Pagos!$E:$E,Pagos!$D:$D,A433))</f>
        <v/>
      </c>
      <c r="K433" s="20">
        <f>IF(A433="","",I433-J433)</f>
        <v/>
      </c>
      <c r="L433" s="22">
        <f>IF(B433="","",B433+60)</f>
        <v/>
      </c>
    </row>
    <row r="434">
      <c r="A434" s="18">
        <f>IF(C434="","","V"&amp;TEXT(ROW()-1,"000"))</f>
        <v/>
      </c>
      <c r="B434" s="19" t="n"/>
      <c r="D434" s="18">
        <f>IFERROR(VLOOKUP(C434,Alumnos!$A:$B,2,FALSE),"")</f>
        <v/>
      </c>
      <c r="F434" s="18">
        <f>IFERROR(VLOOKUP(E434,Catalogo!$A$2:$H$60,4,FALSE),"")</f>
        <v/>
      </c>
      <c r="G434" s="20">
        <f>IFERROR(VLOOKUP(E434,Catalogo!$A$2:$H$60,5,FALSE),"")</f>
        <v/>
      </c>
      <c r="H434" s="21" t="n"/>
      <c r="I434" s="20">
        <f>IF(G434="","",G434-H434)</f>
        <v/>
      </c>
      <c r="J434" s="20">
        <f>IF(A434="","",SUMIFS(Pagos!$E:$E,Pagos!$D:$D,A434))</f>
        <v/>
      </c>
      <c r="K434" s="20">
        <f>IF(A434="","",I434-J434)</f>
        <v/>
      </c>
      <c r="L434" s="22">
        <f>IF(B434="","",B434+60)</f>
        <v/>
      </c>
    </row>
    <row r="435">
      <c r="A435" s="18">
        <f>IF(C435="","","V"&amp;TEXT(ROW()-1,"000"))</f>
        <v/>
      </c>
      <c r="B435" s="19" t="n"/>
      <c r="D435" s="18">
        <f>IFERROR(VLOOKUP(C435,Alumnos!$A:$B,2,FALSE),"")</f>
        <v/>
      </c>
      <c r="F435" s="18">
        <f>IFERROR(VLOOKUP(E435,Catalogo!$A$2:$H$60,4,FALSE),"")</f>
        <v/>
      </c>
      <c r="G435" s="20">
        <f>IFERROR(VLOOKUP(E435,Catalogo!$A$2:$H$60,5,FALSE),"")</f>
        <v/>
      </c>
      <c r="H435" s="21" t="n"/>
      <c r="I435" s="20">
        <f>IF(G435="","",G435-H435)</f>
        <v/>
      </c>
      <c r="J435" s="20">
        <f>IF(A435="","",SUMIFS(Pagos!$E:$E,Pagos!$D:$D,A435))</f>
        <v/>
      </c>
      <c r="K435" s="20">
        <f>IF(A435="","",I435-J435)</f>
        <v/>
      </c>
      <c r="L435" s="22">
        <f>IF(B435="","",B435+60)</f>
        <v/>
      </c>
    </row>
    <row r="436">
      <c r="A436" s="18">
        <f>IF(C436="","","V"&amp;TEXT(ROW()-1,"000"))</f>
        <v/>
      </c>
      <c r="B436" s="19" t="n"/>
      <c r="D436" s="18">
        <f>IFERROR(VLOOKUP(C436,Alumnos!$A:$B,2,FALSE),"")</f>
        <v/>
      </c>
      <c r="F436" s="18">
        <f>IFERROR(VLOOKUP(E436,Catalogo!$A$2:$H$60,4,FALSE),"")</f>
        <v/>
      </c>
      <c r="G436" s="20">
        <f>IFERROR(VLOOKUP(E436,Catalogo!$A$2:$H$60,5,FALSE),"")</f>
        <v/>
      </c>
      <c r="H436" s="21" t="n"/>
      <c r="I436" s="20">
        <f>IF(G436="","",G436-H436)</f>
        <v/>
      </c>
      <c r="J436" s="20">
        <f>IF(A436="","",SUMIFS(Pagos!$E:$E,Pagos!$D:$D,A436))</f>
        <v/>
      </c>
      <c r="K436" s="20">
        <f>IF(A436="","",I436-J436)</f>
        <v/>
      </c>
      <c r="L436" s="22">
        <f>IF(B436="","",B436+60)</f>
        <v/>
      </c>
    </row>
    <row r="437">
      <c r="A437" s="18">
        <f>IF(C437="","","V"&amp;TEXT(ROW()-1,"000"))</f>
        <v/>
      </c>
      <c r="B437" s="19" t="n"/>
      <c r="D437" s="18">
        <f>IFERROR(VLOOKUP(C437,Alumnos!$A:$B,2,FALSE),"")</f>
        <v/>
      </c>
      <c r="F437" s="18">
        <f>IFERROR(VLOOKUP(E437,Catalogo!$A$2:$H$60,4,FALSE),"")</f>
        <v/>
      </c>
      <c r="G437" s="20">
        <f>IFERROR(VLOOKUP(E437,Catalogo!$A$2:$H$60,5,FALSE),"")</f>
        <v/>
      </c>
      <c r="H437" s="21" t="n"/>
      <c r="I437" s="20">
        <f>IF(G437="","",G437-H437)</f>
        <v/>
      </c>
      <c r="J437" s="20">
        <f>IF(A437="","",SUMIFS(Pagos!$E:$E,Pagos!$D:$D,A437))</f>
        <v/>
      </c>
      <c r="K437" s="20">
        <f>IF(A437="","",I437-J437)</f>
        <v/>
      </c>
      <c r="L437" s="22">
        <f>IF(B437="","",B437+60)</f>
        <v/>
      </c>
    </row>
    <row r="438">
      <c r="A438" s="18">
        <f>IF(C438="","","V"&amp;TEXT(ROW()-1,"000"))</f>
        <v/>
      </c>
      <c r="B438" s="19" t="n"/>
      <c r="D438" s="18">
        <f>IFERROR(VLOOKUP(C438,Alumnos!$A:$B,2,FALSE),"")</f>
        <v/>
      </c>
      <c r="F438" s="18">
        <f>IFERROR(VLOOKUP(E438,Catalogo!$A$2:$H$60,4,FALSE),"")</f>
        <v/>
      </c>
      <c r="G438" s="20">
        <f>IFERROR(VLOOKUP(E438,Catalogo!$A$2:$H$60,5,FALSE),"")</f>
        <v/>
      </c>
      <c r="H438" s="21" t="n"/>
      <c r="I438" s="20">
        <f>IF(G438="","",G438-H438)</f>
        <v/>
      </c>
      <c r="J438" s="20">
        <f>IF(A438="","",SUMIFS(Pagos!$E:$E,Pagos!$D:$D,A438))</f>
        <v/>
      </c>
      <c r="K438" s="20">
        <f>IF(A438="","",I438-J438)</f>
        <v/>
      </c>
      <c r="L438" s="22">
        <f>IF(B438="","",B438+60)</f>
        <v/>
      </c>
    </row>
    <row r="439">
      <c r="A439" s="18">
        <f>IF(C439="","","V"&amp;TEXT(ROW()-1,"000"))</f>
        <v/>
      </c>
      <c r="B439" s="19" t="n"/>
      <c r="D439" s="18">
        <f>IFERROR(VLOOKUP(C439,Alumnos!$A:$B,2,FALSE),"")</f>
        <v/>
      </c>
      <c r="F439" s="18">
        <f>IFERROR(VLOOKUP(E439,Catalogo!$A$2:$H$60,4,FALSE),"")</f>
        <v/>
      </c>
      <c r="G439" s="20">
        <f>IFERROR(VLOOKUP(E439,Catalogo!$A$2:$H$60,5,FALSE),"")</f>
        <v/>
      </c>
      <c r="H439" s="21" t="n"/>
      <c r="I439" s="20">
        <f>IF(G439="","",G439-H439)</f>
        <v/>
      </c>
      <c r="J439" s="20">
        <f>IF(A439="","",SUMIFS(Pagos!$E:$E,Pagos!$D:$D,A439))</f>
        <v/>
      </c>
      <c r="K439" s="20">
        <f>IF(A439="","",I439-J439)</f>
        <v/>
      </c>
      <c r="L439" s="22">
        <f>IF(B439="","",B439+60)</f>
        <v/>
      </c>
    </row>
    <row r="440">
      <c r="A440" s="18">
        <f>IF(C440="","","V"&amp;TEXT(ROW()-1,"000"))</f>
        <v/>
      </c>
      <c r="B440" s="19" t="n"/>
      <c r="D440" s="18">
        <f>IFERROR(VLOOKUP(C440,Alumnos!$A:$B,2,FALSE),"")</f>
        <v/>
      </c>
      <c r="F440" s="18">
        <f>IFERROR(VLOOKUP(E440,Catalogo!$A$2:$H$60,4,FALSE),"")</f>
        <v/>
      </c>
      <c r="G440" s="20">
        <f>IFERROR(VLOOKUP(E440,Catalogo!$A$2:$H$60,5,FALSE),"")</f>
        <v/>
      </c>
      <c r="H440" s="21" t="n"/>
      <c r="I440" s="20">
        <f>IF(G440="","",G440-H440)</f>
        <v/>
      </c>
      <c r="J440" s="20">
        <f>IF(A440="","",SUMIFS(Pagos!$E:$E,Pagos!$D:$D,A440))</f>
        <v/>
      </c>
      <c r="K440" s="20">
        <f>IF(A440="","",I440-J440)</f>
        <v/>
      </c>
      <c r="L440" s="22">
        <f>IF(B440="","",B440+60)</f>
        <v/>
      </c>
    </row>
    <row r="441">
      <c r="A441" s="18">
        <f>IF(C441="","","V"&amp;TEXT(ROW()-1,"000"))</f>
        <v/>
      </c>
      <c r="B441" s="19" t="n"/>
      <c r="D441" s="18">
        <f>IFERROR(VLOOKUP(C441,Alumnos!$A:$B,2,FALSE),"")</f>
        <v/>
      </c>
      <c r="F441" s="18">
        <f>IFERROR(VLOOKUP(E441,Catalogo!$A$2:$H$60,4,FALSE),"")</f>
        <v/>
      </c>
      <c r="G441" s="20">
        <f>IFERROR(VLOOKUP(E441,Catalogo!$A$2:$H$60,5,FALSE),"")</f>
        <v/>
      </c>
      <c r="H441" s="21" t="n"/>
      <c r="I441" s="20">
        <f>IF(G441="","",G441-H441)</f>
        <v/>
      </c>
      <c r="J441" s="20">
        <f>IF(A441="","",SUMIFS(Pagos!$E:$E,Pagos!$D:$D,A441))</f>
        <v/>
      </c>
      <c r="K441" s="20">
        <f>IF(A441="","",I441-J441)</f>
        <v/>
      </c>
      <c r="L441" s="22">
        <f>IF(B441="","",B441+60)</f>
        <v/>
      </c>
    </row>
    <row r="442">
      <c r="A442" s="18">
        <f>IF(C442="","","V"&amp;TEXT(ROW()-1,"000"))</f>
        <v/>
      </c>
      <c r="B442" s="19" t="n"/>
      <c r="D442" s="18">
        <f>IFERROR(VLOOKUP(C442,Alumnos!$A:$B,2,FALSE),"")</f>
        <v/>
      </c>
      <c r="F442" s="18">
        <f>IFERROR(VLOOKUP(E442,Catalogo!$A$2:$H$60,4,FALSE),"")</f>
        <v/>
      </c>
      <c r="G442" s="20">
        <f>IFERROR(VLOOKUP(E442,Catalogo!$A$2:$H$60,5,FALSE),"")</f>
        <v/>
      </c>
      <c r="H442" s="21" t="n"/>
      <c r="I442" s="20">
        <f>IF(G442="","",G442-H442)</f>
        <v/>
      </c>
      <c r="J442" s="20">
        <f>IF(A442="","",SUMIFS(Pagos!$E:$E,Pagos!$D:$D,A442))</f>
        <v/>
      </c>
      <c r="K442" s="20">
        <f>IF(A442="","",I442-J442)</f>
        <v/>
      </c>
      <c r="L442" s="22">
        <f>IF(B442="","",B442+60)</f>
        <v/>
      </c>
    </row>
    <row r="443">
      <c r="A443" s="18">
        <f>IF(C443="","","V"&amp;TEXT(ROW()-1,"000"))</f>
        <v/>
      </c>
      <c r="B443" s="19" t="n"/>
      <c r="D443" s="18">
        <f>IFERROR(VLOOKUP(C443,Alumnos!$A:$B,2,FALSE),"")</f>
        <v/>
      </c>
      <c r="F443" s="18">
        <f>IFERROR(VLOOKUP(E443,Catalogo!$A$2:$H$60,4,FALSE),"")</f>
        <v/>
      </c>
      <c r="G443" s="20">
        <f>IFERROR(VLOOKUP(E443,Catalogo!$A$2:$H$60,5,FALSE),"")</f>
        <v/>
      </c>
      <c r="H443" s="21" t="n"/>
      <c r="I443" s="20">
        <f>IF(G443="","",G443-H443)</f>
        <v/>
      </c>
      <c r="J443" s="20">
        <f>IF(A443="","",SUMIFS(Pagos!$E:$E,Pagos!$D:$D,A443))</f>
        <v/>
      </c>
      <c r="K443" s="20">
        <f>IF(A443="","",I443-J443)</f>
        <v/>
      </c>
      <c r="L443" s="22">
        <f>IF(B443="","",B443+60)</f>
        <v/>
      </c>
    </row>
    <row r="444">
      <c r="A444" s="18">
        <f>IF(C444="","","V"&amp;TEXT(ROW()-1,"000"))</f>
        <v/>
      </c>
      <c r="B444" s="19" t="n"/>
      <c r="D444" s="18">
        <f>IFERROR(VLOOKUP(C444,Alumnos!$A:$B,2,FALSE),"")</f>
        <v/>
      </c>
      <c r="F444" s="18">
        <f>IFERROR(VLOOKUP(E444,Catalogo!$A$2:$H$60,4,FALSE),"")</f>
        <v/>
      </c>
      <c r="G444" s="20">
        <f>IFERROR(VLOOKUP(E444,Catalogo!$A$2:$H$60,5,FALSE),"")</f>
        <v/>
      </c>
      <c r="H444" s="21" t="n"/>
      <c r="I444" s="20">
        <f>IF(G444="","",G444-H444)</f>
        <v/>
      </c>
      <c r="J444" s="20">
        <f>IF(A444="","",SUMIFS(Pagos!$E:$E,Pagos!$D:$D,A444))</f>
        <v/>
      </c>
      <c r="K444" s="20">
        <f>IF(A444="","",I444-J444)</f>
        <v/>
      </c>
      <c r="L444" s="22">
        <f>IF(B444="","",B444+60)</f>
        <v/>
      </c>
    </row>
    <row r="445">
      <c r="A445" s="18">
        <f>IF(C445="","","V"&amp;TEXT(ROW()-1,"000"))</f>
        <v/>
      </c>
      <c r="B445" s="19" t="n"/>
      <c r="D445" s="18">
        <f>IFERROR(VLOOKUP(C445,Alumnos!$A:$B,2,FALSE),"")</f>
        <v/>
      </c>
      <c r="F445" s="18">
        <f>IFERROR(VLOOKUP(E445,Catalogo!$A$2:$H$60,4,FALSE),"")</f>
        <v/>
      </c>
      <c r="G445" s="20">
        <f>IFERROR(VLOOKUP(E445,Catalogo!$A$2:$H$60,5,FALSE),"")</f>
        <v/>
      </c>
      <c r="H445" s="21" t="n"/>
      <c r="I445" s="20">
        <f>IF(G445="","",G445-H445)</f>
        <v/>
      </c>
      <c r="J445" s="20">
        <f>IF(A445="","",SUMIFS(Pagos!$E:$E,Pagos!$D:$D,A445))</f>
        <v/>
      </c>
      <c r="K445" s="20">
        <f>IF(A445="","",I445-J445)</f>
        <v/>
      </c>
      <c r="L445" s="22">
        <f>IF(B445="","",B445+60)</f>
        <v/>
      </c>
    </row>
    <row r="446">
      <c r="A446" s="18">
        <f>IF(C446="","","V"&amp;TEXT(ROW()-1,"000"))</f>
        <v/>
      </c>
      <c r="B446" s="19" t="n"/>
      <c r="D446" s="18">
        <f>IFERROR(VLOOKUP(C446,Alumnos!$A:$B,2,FALSE),"")</f>
        <v/>
      </c>
      <c r="F446" s="18">
        <f>IFERROR(VLOOKUP(E446,Catalogo!$A$2:$H$60,4,FALSE),"")</f>
        <v/>
      </c>
      <c r="G446" s="20">
        <f>IFERROR(VLOOKUP(E446,Catalogo!$A$2:$H$60,5,FALSE),"")</f>
        <v/>
      </c>
      <c r="H446" s="21" t="n"/>
      <c r="I446" s="20">
        <f>IF(G446="","",G446-H446)</f>
        <v/>
      </c>
      <c r="J446" s="20">
        <f>IF(A446="","",SUMIFS(Pagos!$E:$E,Pagos!$D:$D,A446))</f>
        <v/>
      </c>
      <c r="K446" s="20">
        <f>IF(A446="","",I446-J446)</f>
        <v/>
      </c>
      <c r="L446" s="22">
        <f>IF(B446="","",B446+60)</f>
        <v/>
      </c>
    </row>
    <row r="447">
      <c r="A447" s="18">
        <f>IF(C447="","","V"&amp;TEXT(ROW()-1,"000"))</f>
        <v/>
      </c>
      <c r="B447" s="19" t="n"/>
      <c r="D447" s="18">
        <f>IFERROR(VLOOKUP(C447,Alumnos!$A:$B,2,FALSE),"")</f>
        <v/>
      </c>
      <c r="F447" s="18">
        <f>IFERROR(VLOOKUP(E447,Catalogo!$A$2:$H$60,4,FALSE),"")</f>
        <v/>
      </c>
      <c r="G447" s="20">
        <f>IFERROR(VLOOKUP(E447,Catalogo!$A$2:$H$60,5,FALSE),"")</f>
        <v/>
      </c>
      <c r="H447" s="21" t="n"/>
      <c r="I447" s="20">
        <f>IF(G447="","",G447-H447)</f>
        <v/>
      </c>
      <c r="J447" s="20">
        <f>IF(A447="","",SUMIFS(Pagos!$E:$E,Pagos!$D:$D,A447))</f>
        <v/>
      </c>
      <c r="K447" s="20">
        <f>IF(A447="","",I447-J447)</f>
        <v/>
      </c>
      <c r="L447" s="22">
        <f>IF(B447="","",B447+60)</f>
        <v/>
      </c>
    </row>
    <row r="448">
      <c r="A448" s="18">
        <f>IF(C448="","","V"&amp;TEXT(ROW()-1,"000"))</f>
        <v/>
      </c>
      <c r="B448" s="19" t="n"/>
      <c r="D448" s="18">
        <f>IFERROR(VLOOKUP(C448,Alumnos!$A:$B,2,FALSE),"")</f>
        <v/>
      </c>
      <c r="F448" s="18">
        <f>IFERROR(VLOOKUP(E448,Catalogo!$A$2:$H$60,4,FALSE),"")</f>
        <v/>
      </c>
      <c r="G448" s="20">
        <f>IFERROR(VLOOKUP(E448,Catalogo!$A$2:$H$60,5,FALSE),"")</f>
        <v/>
      </c>
      <c r="H448" s="21" t="n"/>
      <c r="I448" s="20">
        <f>IF(G448="","",G448-H448)</f>
        <v/>
      </c>
      <c r="J448" s="20">
        <f>IF(A448="","",SUMIFS(Pagos!$E:$E,Pagos!$D:$D,A448))</f>
        <v/>
      </c>
      <c r="K448" s="20">
        <f>IF(A448="","",I448-J448)</f>
        <v/>
      </c>
      <c r="L448" s="22">
        <f>IF(B448="","",B448+60)</f>
        <v/>
      </c>
    </row>
    <row r="449">
      <c r="A449" s="18">
        <f>IF(C449="","","V"&amp;TEXT(ROW()-1,"000"))</f>
        <v/>
      </c>
      <c r="B449" s="19" t="n"/>
      <c r="D449" s="18">
        <f>IFERROR(VLOOKUP(C449,Alumnos!$A:$B,2,FALSE),"")</f>
        <v/>
      </c>
      <c r="F449" s="18">
        <f>IFERROR(VLOOKUP(E449,Catalogo!$A$2:$H$60,4,FALSE),"")</f>
        <v/>
      </c>
      <c r="G449" s="20">
        <f>IFERROR(VLOOKUP(E449,Catalogo!$A$2:$H$60,5,FALSE),"")</f>
        <v/>
      </c>
      <c r="H449" s="21" t="n"/>
      <c r="I449" s="20">
        <f>IF(G449="","",G449-H449)</f>
        <v/>
      </c>
      <c r="J449" s="20">
        <f>IF(A449="","",SUMIFS(Pagos!$E:$E,Pagos!$D:$D,A449))</f>
        <v/>
      </c>
      <c r="K449" s="20">
        <f>IF(A449="","",I449-J449)</f>
        <v/>
      </c>
      <c r="L449" s="22">
        <f>IF(B449="","",B449+60)</f>
        <v/>
      </c>
    </row>
    <row r="450">
      <c r="A450" s="18">
        <f>IF(C450="","","V"&amp;TEXT(ROW()-1,"000"))</f>
        <v/>
      </c>
      <c r="B450" s="19" t="n"/>
      <c r="D450" s="18">
        <f>IFERROR(VLOOKUP(C450,Alumnos!$A:$B,2,FALSE),"")</f>
        <v/>
      </c>
      <c r="F450" s="18">
        <f>IFERROR(VLOOKUP(E450,Catalogo!$A$2:$H$60,4,FALSE),"")</f>
        <v/>
      </c>
      <c r="G450" s="20">
        <f>IFERROR(VLOOKUP(E450,Catalogo!$A$2:$H$60,5,FALSE),"")</f>
        <v/>
      </c>
      <c r="H450" s="21" t="n"/>
      <c r="I450" s="20">
        <f>IF(G450="","",G450-H450)</f>
        <v/>
      </c>
      <c r="J450" s="20">
        <f>IF(A450="","",SUMIFS(Pagos!$E:$E,Pagos!$D:$D,A450))</f>
        <v/>
      </c>
      <c r="K450" s="20">
        <f>IF(A450="","",I450-J450)</f>
        <v/>
      </c>
      <c r="L450" s="22">
        <f>IF(B450="","",B450+60)</f>
        <v/>
      </c>
    </row>
    <row r="451">
      <c r="A451" s="18">
        <f>IF(C451="","","V"&amp;TEXT(ROW()-1,"000"))</f>
        <v/>
      </c>
      <c r="B451" s="19" t="n"/>
      <c r="D451" s="18">
        <f>IFERROR(VLOOKUP(C451,Alumnos!$A:$B,2,FALSE),"")</f>
        <v/>
      </c>
      <c r="F451" s="18">
        <f>IFERROR(VLOOKUP(E451,Catalogo!$A$2:$H$60,4,FALSE),"")</f>
        <v/>
      </c>
      <c r="G451" s="20">
        <f>IFERROR(VLOOKUP(E451,Catalogo!$A$2:$H$60,5,FALSE),"")</f>
        <v/>
      </c>
      <c r="H451" s="21" t="n"/>
      <c r="I451" s="20">
        <f>IF(G451="","",G451-H451)</f>
        <v/>
      </c>
      <c r="J451" s="20">
        <f>IF(A451="","",SUMIFS(Pagos!$E:$E,Pagos!$D:$D,A451))</f>
        <v/>
      </c>
      <c r="K451" s="20">
        <f>IF(A451="","",I451-J451)</f>
        <v/>
      </c>
      <c r="L451" s="22">
        <f>IF(B451="","",B451+60)</f>
        <v/>
      </c>
    </row>
    <row r="452">
      <c r="A452" s="18">
        <f>IF(C452="","","V"&amp;TEXT(ROW()-1,"000"))</f>
        <v/>
      </c>
      <c r="B452" s="19" t="n"/>
      <c r="D452" s="18">
        <f>IFERROR(VLOOKUP(C452,Alumnos!$A:$B,2,FALSE),"")</f>
        <v/>
      </c>
      <c r="F452" s="18">
        <f>IFERROR(VLOOKUP(E452,Catalogo!$A$2:$H$60,4,FALSE),"")</f>
        <v/>
      </c>
      <c r="G452" s="20">
        <f>IFERROR(VLOOKUP(E452,Catalogo!$A$2:$H$60,5,FALSE),"")</f>
        <v/>
      </c>
      <c r="H452" s="21" t="n"/>
      <c r="I452" s="20">
        <f>IF(G452="","",G452-H452)</f>
        <v/>
      </c>
      <c r="J452" s="20">
        <f>IF(A452="","",SUMIFS(Pagos!$E:$E,Pagos!$D:$D,A452))</f>
        <v/>
      </c>
      <c r="K452" s="20">
        <f>IF(A452="","",I452-J452)</f>
        <v/>
      </c>
      <c r="L452" s="22">
        <f>IF(B452="","",B452+60)</f>
        <v/>
      </c>
    </row>
    <row r="453">
      <c r="A453" s="18">
        <f>IF(C453="","","V"&amp;TEXT(ROW()-1,"000"))</f>
        <v/>
      </c>
      <c r="B453" s="19" t="n"/>
      <c r="D453" s="18">
        <f>IFERROR(VLOOKUP(C453,Alumnos!$A:$B,2,FALSE),"")</f>
        <v/>
      </c>
      <c r="F453" s="18">
        <f>IFERROR(VLOOKUP(E453,Catalogo!$A$2:$H$60,4,FALSE),"")</f>
        <v/>
      </c>
      <c r="G453" s="20">
        <f>IFERROR(VLOOKUP(E453,Catalogo!$A$2:$H$60,5,FALSE),"")</f>
        <v/>
      </c>
      <c r="H453" s="21" t="n"/>
      <c r="I453" s="20">
        <f>IF(G453="","",G453-H453)</f>
        <v/>
      </c>
      <c r="J453" s="20">
        <f>IF(A453="","",SUMIFS(Pagos!$E:$E,Pagos!$D:$D,A453))</f>
        <v/>
      </c>
      <c r="K453" s="20">
        <f>IF(A453="","",I453-J453)</f>
        <v/>
      </c>
      <c r="L453" s="22">
        <f>IF(B453="","",B453+60)</f>
        <v/>
      </c>
    </row>
    <row r="454">
      <c r="A454" s="18">
        <f>IF(C454="","","V"&amp;TEXT(ROW()-1,"000"))</f>
        <v/>
      </c>
      <c r="B454" s="19" t="n"/>
      <c r="D454" s="18">
        <f>IFERROR(VLOOKUP(C454,Alumnos!$A:$B,2,FALSE),"")</f>
        <v/>
      </c>
      <c r="F454" s="18">
        <f>IFERROR(VLOOKUP(E454,Catalogo!$A$2:$H$60,4,FALSE),"")</f>
        <v/>
      </c>
      <c r="G454" s="20">
        <f>IFERROR(VLOOKUP(E454,Catalogo!$A$2:$H$60,5,FALSE),"")</f>
        <v/>
      </c>
      <c r="H454" s="21" t="n"/>
      <c r="I454" s="20">
        <f>IF(G454="","",G454-H454)</f>
        <v/>
      </c>
      <c r="J454" s="20">
        <f>IF(A454="","",SUMIFS(Pagos!$E:$E,Pagos!$D:$D,A454))</f>
        <v/>
      </c>
      <c r="K454" s="20">
        <f>IF(A454="","",I454-J454)</f>
        <v/>
      </c>
      <c r="L454" s="22">
        <f>IF(B454="","",B454+60)</f>
        <v/>
      </c>
    </row>
    <row r="455">
      <c r="A455" s="18">
        <f>IF(C455="","","V"&amp;TEXT(ROW()-1,"000"))</f>
        <v/>
      </c>
      <c r="B455" s="19" t="n"/>
      <c r="D455" s="18">
        <f>IFERROR(VLOOKUP(C455,Alumnos!$A:$B,2,FALSE),"")</f>
        <v/>
      </c>
      <c r="F455" s="18">
        <f>IFERROR(VLOOKUP(E455,Catalogo!$A$2:$H$60,4,FALSE),"")</f>
        <v/>
      </c>
      <c r="G455" s="20">
        <f>IFERROR(VLOOKUP(E455,Catalogo!$A$2:$H$60,5,FALSE),"")</f>
        <v/>
      </c>
      <c r="H455" s="21" t="n"/>
      <c r="I455" s="20">
        <f>IF(G455="","",G455-H455)</f>
        <v/>
      </c>
      <c r="J455" s="20">
        <f>IF(A455="","",SUMIFS(Pagos!$E:$E,Pagos!$D:$D,A455))</f>
        <v/>
      </c>
      <c r="K455" s="20">
        <f>IF(A455="","",I455-J455)</f>
        <v/>
      </c>
      <c r="L455" s="22">
        <f>IF(B455="","",B455+60)</f>
        <v/>
      </c>
    </row>
    <row r="456">
      <c r="A456" s="18">
        <f>IF(C456="","","V"&amp;TEXT(ROW()-1,"000"))</f>
        <v/>
      </c>
      <c r="B456" s="19" t="n"/>
      <c r="D456" s="18">
        <f>IFERROR(VLOOKUP(C456,Alumnos!$A:$B,2,FALSE),"")</f>
        <v/>
      </c>
      <c r="F456" s="18">
        <f>IFERROR(VLOOKUP(E456,Catalogo!$A$2:$H$60,4,FALSE),"")</f>
        <v/>
      </c>
      <c r="G456" s="20">
        <f>IFERROR(VLOOKUP(E456,Catalogo!$A$2:$H$60,5,FALSE),"")</f>
        <v/>
      </c>
      <c r="H456" s="21" t="n"/>
      <c r="I456" s="20">
        <f>IF(G456="","",G456-H456)</f>
        <v/>
      </c>
      <c r="J456" s="20">
        <f>IF(A456="","",SUMIFS(Pagos!$E:$E,Pagos!$D:$D,A456))</f>
        <v/>
      </c>
      <c r="K456" s="20">
        <f>IF(A456="","",I456-J456)</f>
        <v/>
      </c>
      <c r="L456" s="22">
        <f>IF(B456="","",B456+60)</f>
        <v/>
      </c>
    </row>
    <row r="457">
      <c r="A457" s="18">
        <f>IF(C457="","","V"&amp;TEXT(ROW()-1,"000"))</f>
        <v/>
      </c>
      <c r="B457" s="19" t="n"/>
      <c r="D457" s="18">
        <f>IFERROR(VLOOKUP(C457,Alumnos!$A:$B,2,FALSE),"")</f>
        <v/>
      </c>
      <c r="F457" s="18">
        <f>IFERROR(VLOOKUP(E457,Catalogo!$A$2:$H$60,4,FALSE),"")</f>
        <v/>
      </c>
      <c r="G457" s="20">
        <f>IFERROR(VLOOKUP(E457,Catalogo!$A$2:$H$60,5,FALSE),"")</f>
        <v/>
      </c>
      <c r="H457" s="21" t="n"/>
      <c r="I457" s="20">
        <f>IF(G457="","",G457-H457)</f>
        <v/>
      </c>
      <c r="J457" s="20">
        <f>IF(A457="","",SUMIFS(Pagos!$E:$E,Pagos!$D:$D,A457))</f>
        <v/>
      </c>
      <c r="K457" s="20">
        <f>IF(A457="","",I457-J457)</f>
        <v/>
      </c>
      <c r="L457" s="22">
        <f>IF(B457="","",B457+60)</f>
        <v/>
      </c>
    </row>
    <row r="458">
      <c r="A458" s="18">
        <f>IF(C458="","","V"&amp;TEXT(ROW()-1,"000"))</f>
        <v/>
      </c>
      <c r="B458" s="19" t="n"/>
      <c r="D458" s="18">
        <f>IFERROR(VLOOKUP(C458,Alumnos!$A:$B,2,FALSE),"")</f>
        <v/>
      </c>
      <c r="F458" s="18">
        <f>IFERROR(VLOOKUP(E458,Catalogo!$A$2:$H$60,4,FALSE),"")</f>
        <v/>
      </c>
      <c r="G458" s="20">
        <f>IFERROR(VLOOKUP(E458,Catalogo!$A$2:$H$60,5,FALSE),"")</f>
        <v/>
      </c>
      <c r="H458" s="21" t="n"/>
      <c r="I458" s="20">
        <f>IF(G458="","",G458-H458)</f>
        <v/>
      </c>
      <c r="J458" s="20">
        <f>IF(A458="","",SUMIFS(Pagos!$E:$E,Pagos!$D:$D,A458))</f>
        <v/>
      </c>
      <c r="K458" s="20">
        <f>IF(A458="","",I458-J458)</f>
        <v/>
      </c>
      <c r="L458" s="22">
        <f>IF(B458="","",B458+60)</f>
        <v/>
      </c>
    </row>
    <row r="459">
      <c r="A459" s="18">
        <f>IF(C459="","","V"&amp;TEXT(ROW()-1,"000"))</f>
        <v/>
      </c>
      <c r="B459" s="19" t="n"/>
      <c r="D459" s="18">
        <f>IFERROR(VLOOKUP(C459,Alumnos!$A:$B,2,FALSE),"")</f>
        <v/>
      </c>
      <c r="F459" s="18">
        <f>IFERROR(VLOOKUP(E459,Catalogo!$A$2:$H$60,4,FALSE),"")</f>
        <v/>
      </c>
      <c r="G459" s="20">
        <f>IFERROR(VLOOKUP(E459,Catalogo!$A$2:$H$60,5,FALSE),"")</f>
        <v/>
      </c>
      <c r="H459" s="21" t="n"/>
      <c r="I459" s="20">
        <f>IF(G459="","",G459-H459)</f>
        <v/>
      </c>
      <c r="J459" s="20">
        <f>IF(A459="","",SUMIFS(Pagos!$E:$E,Pagos!$D:$D,A459))</f>
        <v/>
      </c>
      <c r="K459" s="20">
        <f>IF(A459="","",I459-J459)</f>
        <v/>
      </c>
      <c r="L459" s="22">
        <f>IF(B459="","",B459+60)</f>
        <v/>
      </c>
    </row>
    <row r="460">
      <c r="A460" s="18">
        <f>IF(C460="","","V"&amp;TEXT(ROW()-1,"000"))</f>
        <v/>
      </c>
      <c r="B460" s="19" t="n"/>
      <c r="D460" s="18">
        <f>IFERROR(VLOOKUP(C460,Alumnos!$A:$B,2,FALSE),"")</f>
        <v/>
      </c>
      <c r="F460" s="18">
        <f>IFERROR(VLOOKUP(E460,Catalogo!$A$2:$H$60,4,FALSE),"")</f>
        <v/>
      </c>
      <c r="G460" s="20">
        <f>IFERROR(VLOOKUP(E460,Catalogo!$A$2:$H$60,5,FALSE),"")</f>
        <v/>
      </c>
      <c r="H460" s="21" t="n"/>
      <c r="I460" s="20">
        <f>IF(G460="","",G460-H460)</f>
        <v/>
      </c>
      <c r="J460" s="20">
        <f>IF(A460="","",SUMIFS(Pagos!$E:$E,Pagos!$D:$D,A460))</f>
        <v/>
      </c>
      <c r="K460" s="20">
        <f>IF(A460="","",I460-J460)</f>
        <v/>
      </c>
      <c r="L460" s="22">
        <f>IF(B460="","",B460+60)</f>
        <v/>
      </c>
    </row>
    <row r="461">
      <c r="A461" s="18">
        <f>IF(C461="","","V"&amp;TEXT(ROW()-1,"000"))</f>
        <v/>
      </c>
      <c r="B461" s="19" t="n"/>
      <c r="D461" s="18">
        <f>IFERROR(VLOOKUP(C461,Alumnos!$A:$B,2,FALSE),"")</f>
        <v/>
      </c>
      <c r="F461" s="18">
        <f>IFERROR(VLOOKUP(E461,Catalogo!$A$2:$H$60,4,FALSE),"")</f>
        <v/>
      </c>
      <c r="G461" s="20">
        <f>IFERROR(VLOOKUP(E461,Catalogo!$A$2:$H$60,5,FALSE),"")</f>
        <v/>
      </c>
      <c r="H461" s="21" t="n"/>
      <c r="I461" s="20">
        <f>IF(G461="","",G461-H461)</f>
        <v/>
      </c>
      <c r="J461" s="20">
        <f>IF(A461="","",SUMIFS(Pagos!$E:$E,Pagos!$D:$D,A461))</f>
        <v/>
      </c>
      <c r="K461" s="20">
        <f>IF(A461="","",I461-J461)</f>
        <v/>
      </c>
      <c r="L461" s="22">
        <f>IF(B461="","",B461+60)</f>
        <v/>
      </c>
    </row>
    <row r="462">
      <c r="A462" s="18">
        <f>IF(C462="","","V"&amp;TEXT(ROW()-1,"000"))</f>
        <v/>
      </c>
      <c r="B462" s="19" t="n"/>
      <c r="D462" s="18">
        <f>IFERROR(VLOOKUP(C462,Alumnos!$A:$B,2,FALSE),"")</f>
        <v/>
      </c>
      <c r="F462" s="18">
        <f>IFERROR(VLOOKUP(E462,Catalogo!$A$2:$H$60,4,FALSE),"")</f>
        <v/>
      </c>
      <c r="G462" s="20">
        <f>IFERROR(VLOOKUP(E462,Catalogo!$A$2:$H$60,5,FALSE),"")</f>
        <v/>
      </c>
      <c r="H462" s="21" t="n"/>
      <c r="I462" s="20">
        <f>IF(G462="","",G462-H462)</f>
        <v/>
      </c>
      <c r="J462" s="20">
        <f>IF(A462="","",SUMIFS(Pagos!$E:$E,Pagos!$D:$D,A462))</f>
        <v/>
      </c>
      <c r="K462" s="20">
        <f>IF(A462="","",I462-J462)</f>
        <v/>
      </c>
      <c r="L462" s="22">
        <f>IF(B462="","",B462+60)</f>
        <v/>
      </c>
    </row>
    <row r="463">
      <c r="A463" s="18">
        <f>IF(C463="","","V"&amp;TEXT(ROW()-1,"000"))</f>
        <v/>
      </c>
      <c r="B463" s="19" t="n"/>
      <c r="D463" s="18">
        <f>IFERROR(VLOOKUP(C463,Alumnos!$A:$B,2,FALSE),"")</f>
        <v/>
      </c>
      <c r="F463" s="18">
        <f>IFERROR(VLOOKUP(E463,Catalogo!$A$2:$H$60,4,FALSE),"")</f>
        <v/>
      </c>
      <c r="G463" s="20">
        <f>IFERROR(VLOOKUP(E463,Catalogo!$A$2:$H$60,5,FALSE),"")</f>
        <v/>
      </c>
      <c r="H463" s="21" t="n"/>
      <c r="I463" s="20">
        <f>IF(G463="","",G463-H463)</f>
        <v/>
      </c>
      <c r="J463" s="20">
        <f>IF(A463="","",SUMIFS(Pagos!$E:$E,Pagos!$D:$D,A463))</f>
        <v/>
      </c>
      <c r="K463" s="20">
        <f>IF(A463="","",I463-J463)</f>
        <v/>
      </c>
      <c r="L463" s="22">
        <f>IF(B463="","",B463+60)</f>
        <v/>
      </c>
    </row>
    <row r="464">
      <c r="A464" s="18">
        <f>IF(C464="","","V"&amp;TEXT(ROW()-1,"000"))</f>
        <v/>
      </c>
      <c r="B464" s="19" t="n"/>
      <c r="D464" s="18">
        <f>IFERROR(VLOOKUP(C464,Alumnos!$A:$B,2,FALSE),"")</f>
        <v/>
      </c>
      <c r="F464" s="18">
        <f>IFERROR(VLOOKUP(E464,Catalogo!$A$2:$H$60,4,FALSE),"")</f>
        <v/>
      </c>
      <c r="G464" s="20">
        <f>IFERROR(VLOOKUP(E464,Catalogo!$A$2:$H$60,5,FALSE),"")</f>
        <v/>
      </c>
      <c r="H464" s="21" t="n"/>
      <c r="I464" s="20">
        <f>IF(G464="","",G464-H464)</f>
        <v/>
      </c>
      <c r="J464" s="20">
        <f>IF(A464="","",SUMIFS(Pagos!$E:$E,Pagos!$D:$D,A464))</f>
        <v/>
      </c>
      <c r="K464" s="20">
        <f>IF(A464="","",I464-J464)</f>
        <v/>
      </c>
      <c r="L464" s="22">
        <f>IF(B464="","",B464+60)</f>
        <v/>
      </c>
    </row>
    <row r="465">
      <c r="A465" s="18">
        <f>IF(C465="","","V"&amp;TEXT(ROW()-1,"000"))</f>
        <v/>
      </c>
      <c r="B465" s="19" t="n"/>
      <c r="D465" s="18">
        <f>IFERROR(VLOOKUP(C465,Alumnos!$A:$B,2,FALSE),"")</f>
        <v/>
      </c>
      <c r="F465" s="18">
        <f>IFERROR(VLOOKUP(E465,Catalogo!$A$2:$H$60,4,FALSE),"")</f>
        <v/>
      </c>
      <c r="G465" s="20">
        <f>IFERROR(VLOOKUP(E465,Catalogo!$A$2:$H$60,5,FALSE),"")</f>
        <v/>
      </c>
      <c r="H465" s="21" t="n"/>
      <c r="I465" s="20">
        <f>IF(G465="","",G465-H465)</f>
        <v/>
      </c>
      <c r="J465" s="20">
        <f>IF(A465="","",SUMIFS(Pagos!$E:$E,Pagos!$D:$D,A465))</f>
        <v/>
      </c>
      <c r="K465" s="20">
        <f>IF(A465="","",I465-J465)</f>
        <v/>
      </c>
      <c r="L465" s="22">
        <f>IF(B465="","",B465+60)</f>
        <v/>
      </c>
    </row>
    <row r="466">
      <c r="A466" s="18">
        <f>IF(C466="","","V"&amp;TEXT(ROW()-1,"000"))</f>
        <v/>
      </c>
      <c r="B466" s="19" t="n"/>
      <c r="D466" s="18">
        <f>IFERROR(VLOOKUP(C466,Alumnos!$A:$B,2,FALSE),"")</f>
        <v/>
      </c>
      <c r="F466" s="18">
        <f>IFERROR(VLOOKUP(E466,Catalogo!$A$2:$H$60,4,FALSE),"")</f>
        <v/>
      </c>
      <c r="G466" s="20">
        <f>IFERROR(VLOOKUP(E466,Catalogo!$A$2:$H$60,5,FALSE),"")</f>
        <v/>
      </c>
      <c r="H466" s="21" t="n"/>
      <c r="I466" s="20">
        <f>IF(G466="","",G466-H466)</f>
        <v/>
      </c>
      <c r="J466" s="20">
        <f>IF(A466="","",SUMIFS(Pagos!$E:$E,Pagos!$D:$D,A466))</f>
        <v/>
      </c>
      <c r="K466" s="20">
        <f>IF(A466="","",I466-J466)</f>
        <v/>
      </c>
      <c r="L466" s="22">
        <f>IF(B466="","",B466+60)</f>
        <v/>
      </c>
    </row>
    <row r="467">
      <c r="A467" s="18">
        <f>IF(C467="","","V"&amp;TEXT(ROW()-1,"000"))</f>
        <v/>
      </c>
      <c r="B467" s="19" t="n"/>
      <c r="D467" s="18">
        <f>IFERROR(VLOOKUP(C467,Alumnos!$A:$B,2,FALSE),"")</f>
        <v/>
      </c>
      <c r="F467" s="18">
        <f>IFERROR(VLOOKUP(E467,Catalogo!$A$2:$H$60,4,FALSE),"")</f>
        <v/>
      </c>
      <c r="G467" s="20">
        <f>IFERROR(VLOOKUP(E467,Catalogo!$A$2:$H$60,5,FALSE),"")</f>
        <v/>
      </c>
      <c r="H467" s="21" t="n"/>
      <c r="I467" s="20">
        <f>IF(G467="","",G467-H467)</f>
        <v/>
      </c>
      <c r="J467" s="20">
        <f>IF(A467="","",SUMIFS(Pagos!$E:$E,Pagos!$D:$D,A467))</f>
        <v/>
      </c>
      <c r="K467" s="20">
        <f>IF(A467="","",I467-J467)</f>
        <v/>
      </c>
      <c r="L467" s="22">
        <f>IF(B467="","",B467+60)</f>
        <v/>
      </c>
    </row>
    <row r="468">
      <c r="A468" s="18">
        <f>IF(C468="","","V"&amp;TEXT(ROW()-1,"000"))</f>
        <v/>
      </c>
      <c r="B468" s="19" t="n"/>
      <c r="D468" s="18">
        <f>IFERROR(VLOOKUP(C468,Alumnos!$A:$B,2,FALSE),"")</f>
        <v/>
      </c>
      <c r="F468" s="18">
        <f>IFERROR(VLOOKUP(E468,Catalogo!$A$2:$H$60,4,FALSE),"")</f>
        <v/>
      </c>
      <c r="G468" s="20">
        <f>IFERROR(VLOOKUP(E468,Catalogo!$A$2:$H$60,5,FALSE),"")</f>
        <v/>
      </c>
      <c r="H468" s="21" t="n"/>
      <c r="I468" s="20">
        <f>IF(G468="","",G468-H468)</f>
        <v/>
      </c>
      <c r="J468" s="20">
        <f>IF(A468="","",SUMIFS(Pagos!$E:$E,Pagos!$D:$D,A468))</f>
        <v/>
      </c>
      <c r="K468" s="20">
        <f>IF(A468="","",I468-J468)</f>
        <v/>
      </c>
      <c r="L468" s="22">
        <f>IF(B468="","",B468+60)</f>
        <v/>
      </c>
    </row>
    <row r="469">
      <c r="A469" s="18">
        <f>IF(C469="","","V"&amp;TEXT(ROW()-1,"000"))</f>
        <v/>
      </c>
      <c r="B469" s="19" t="n"/>
      <c r="D469" s="18">
        <f>IFERROR(VLOOKUP(C469,Alumnos!$A:$B,2,FALSE),"")</f>
        <v/>
      </c>
      <c r="F469" s="18">
        <f>IFERROR(VLOOKUP(E469,Catalogo!$A$2:$H$60,4,FALSE),"")</f>
        <v/>
      </c>
      <c r="G469" s="20">
        <f>IFERROR(VLOOKUP(E469,Catalogo!$A$2:$H$60,5,FALSE),"")</f>
        <v/>
      </c>
      <c r="H469" s="21" t="n"/>
      <c r="I469" s="20">
        <f>IF(G469="","",G469-H469)</f>
        <v/>
      </c>
      <c r="J469" s="20">
        <f>IF(A469="","",SUMIFS(Pagos!$E:$E,Pagos!$D:$D,A469))</f>
        <v/>
      </c>
      <c r="K469" s="20">
        <f>IF(A469="","",I469-J469)</f>
        <v/>
      </c>
      <c r="L469" s="22">
        <f>IF(B469="","",B469+60)</f>
        <v/>
      </c>
    </row>
    <row r="470">
      <c r="A470" s="18">
        <f>IF(C470="","","V"&amp;TEXT(ROW()-1,"000"))</f>
        <v/>
      </c>
      <c r="B470" s="19" t="n"/>
      <c r="D470" s="18">
        <f>IFERROR(VLOOKUP(C470,Alumnos!$A:$B,2,FALSE),"")</f>
        <v/>
      </c>
      <c r="F470" s="18">
        <f>IFERROR(VLOOKUP(E470,Catalogo!$A$2:$H$60,4,FALSE),"")</f>
        <v/>
      </c>
      <c r="G470" s="20">
        <f>IFERROR(VLOOKUP(E470,Catalogo!$A$2:$H$60,5,FALSE),"")</f>
        <v/>
      </c>
      <c r="H470" s="21" t="n"/>
      <c r="I470" s="20">
        <f>IF(G470="","",G470-H470)</f>
        <v/>
      </c>
      <c r="J470" s="20">
        <f>IF(A470="","",SUMIFS(Pagos!$E:$E,Pagos!$D:$D,A470))</f>
        <v/>
      </c>
      <c r="K470" s="20">
        <f>IF(A470="","",I470-J470)</f>
        <v/>
      </c>
      <c r="L470" s="22">
        <f>IF(B470="","",B470+60)</f>
        <v/>
      </c>
    </row>
    <row r="471">
      <c r="A471" s="18">
        <f>IF(C471="","","V"&amp;TEXT(ROW()-1,"000"))</f>
        <v/>
      </c>
      <c r="B471" s="19" t="n"/>
      <c r="D471" s="18">
        <f>IFERROR(VLOOKUP(C471,Alumnos!$A:$B,2,FALSE),"")</f>
        <v/>
      </c>
      <c r="F471" s="18">
        <f>IFERROR(VLOOKUP(E471,Catalogo!$A$2:$H$60,4,FALSE),"")</f>
        <v/>
      </c>
      <c r="G471" s="20">
        <f>IFERROR(VLOOKUP(E471,Catalogo!$A$2:$H$60,5,FALSE),"")</f>
        <v/>
      </c>
      <c r="H471" s="21" t="n"/>
      <c r="I471" s="20">
        <f>IF(G471="","",G471-H471)</f>
        <v/>
      </c>
      <c r="J471" s="20">
        <f>IF(A471="","",SUMIFS(Pagos!$E:$E,Pagos!$D:$D,A471))</f>
        <v/>
      </c>
      <c r="K471" s="20">
        <f>IF(A471="","",I471-J471)</f>
        <v/>
      </c>
      <c r="L471" s="22">
        <f>IF(B471="","",B471+60)</f>
        <v/>
      </c>
    </row>
    <row r="472">
      <c r="A472" s="18">
        <f>IF(C472="","","V"&amp;TEXT(ROW()-1,"000"))</f>
        <v/>
      </c>
      <c r="B472" s="19" t="n"/>
      <c r="D472" s="18">
        <f>IFERROR(VLOOKUP(C472,Alumnos!$A:$B,2,FALSE),"")</f>
        <v/>
      </c>
      <c r="F472" s="18">
        <f>IFERROR(VLOOKUP(E472,Catalogo!$A$2:$H$60,4,FALSE),"")</f>
        <v/>
      </c>
      <c r="G472" s="20">
        <f>IFERROR(VLOOKUP(E472,Catalogo!$A$2:$H$60,5,FALSE),"")</f>
        <v/>
      </c>
      <c r="H472" s="21" t="n"/>
      <c r="I472" s="20">
        <f>IF(G472="","",G472-H472)</f>
        <v/>
      </c>
      <c r="J472" s="20">
        <f>IF(A472="","",SUMIFS(Pagos!$E:$E,Pagos!$D:$D,A472))</f>
        <v/>
      </c>
      <c r="K472" s="20">
        <f>IF(A472="","",I472-J472)</f>
        <v/>
      </c>
      <c r="L472" s="22">
        <f>IF(B472="","",B472+60)</f>
        <v/>
      </c>
    </row>
    <row r="473">
      <c r="A473" s="18">
        <f>IF(C473="","","V"&amp;TEXT(ROW()-1,"000"))</f>
        <v/>
      </c>
      <c r="B473" s="19" t="n"/>
      <c r="D473" s="18">
        <f>IFERROR(VLOOKUP(C473,Alumnos!$A:$B,2,FALSE),"")</f>
        <v/>
      </c>
      <c r="F473" s="18">
        <f>IFERROR(VLOOKUP(E473,Catalogo!$A$2:$H$60,4,FALSE),"")</f>
        <v/>
      </c>
      <c r="G473" s="20">
        <f>IFERROR(VLOOKUP(E473,Catalogo!$A$2:$H$60,5,FALSE),"")</f>
        <v/>
      </c>
      <c r="H473" s="21" t="n"/>
      <c r="I473" s="20">
        <f>IF(G473="","",G473-H473)</f>
        <v/>
      </c>
      <c r="J473" s="20">
        <f>IF(A473="","",SUMIFS(Pagos!$E:$E,Pagos!$D:$D,A473))</f>
        <v/>
      </c>
      <c r="K473" s="20">
        <f>IF(A473="","",I473-J473)</f>
        <v/>
      </c>
      <c r="L473" s="22">
        <f>IF(B473="","",B473+60)</f>
        <v/>
      </c>
    </row>
    <row r="474">
      <c r="A474" s="18">
        <f>IF(C474="","","V"&amp;TEXT(ROW()-1,"000"))</f>
        <v/>
      </c>
      <c r="B474" s="19" t="n"/>
      <c r="D474" s="18">
        <f>IFERROR(VLOOKUP(C474,Alumnos!$A:$B,2,FALSE),"")</f>
        <v/>
      </c>
      <c r="F474" s="18">
        <f>IFERROR(VLOOKUP(E474,Catalogo!$A$2:$H$60,4,FALSE),"")</f>
        <v/>
      </c>
      <c r="G474" s="20">
        <f>IFERROR(VLOOKUP(E474,Catalogo!$A$2:$H$60,5,FALSE),"")</f>
        <v/>
      </c>
      <c r="H474" s="21" t="n"/>
      <c r="I474" s="20">
        <f>IF(G474="","",G474-H474)</f>
        <v/>
      </c>
      <c r="J474" s="20">
        <f>IF(A474="","",SUMIFS(Pagos!$E:$E,Pagos!$D:$D,A474))</f>
        <v/>
      </c>
      <c r="K474" s="20">
        <f>IF(A474="","",I474-J474)</f>
        <v/>
      </c>
      <c r="L474" s="22">
        <f>IF(B474="","",B474+60)</f>
        <v/>
      </c>
    </row>
    <row r="475">
      <c r="A475" s="18">
        <f>IF(C475="","","V"&amp;TEXT(ROW()-1,"000"))</f>
        <v/>
      </c>
      <c r="B475" s="19" t="n"/>
      <c r="D475" s="18">
        <f>IFERROR(VLOOKUP(C475,Alumnos!$A:$B,2,FALSE),"")</f>
        <v/>
      </c>
      <c r="F475" s="18">
        <f>IFERROR(VLOOKUP(E475,Catalogo!$A$2:$H$60,4,FALSE),"")</f>
        <v/>
      </c>
      <c r="G475" s="20">
        <f>IFERROR(VLOOKUP(E475,Catalogo!$A$2:$H$60,5,FALSE),"")</f>
        <v/>
      </c>
      <c r="H475" s="21" t="n"/>
      <c r="I475" s="20">
        <f>IF(G475="","",G475-H475)</f>
        <v/>
      </c>
      <c r="J475" s="20">
        <f>IF(A475="","",SUMIFS(Pagos!$E:$E,Pagos!$D:$D,A475))</f>
        <v/>
      </c>
      <c r="K475" s="20">
        <f>IF(A475="","",I475-J475)</f>
        <v/>
      </c>
      <c r="L475" s="22">
        <f>IF(B475="","",B475+60)</f>
        <v/>
      </c>
    </row>
    <row r="476">
      <c r="A476" s="18">
        <f>IF(C476="","","V"&amp;TEXT(ROW()-1,"000"))</f>
        <v/>
      </c>
      <c r="B476" s="19" t="n"/>
      <c r="D476" s="18">
        <f>IFERROR(VLOOKUP(C476,Alumnos!$A:$B,2,FALSE),"")</f>
        <v/>
      </c>
      <c r="F476" s="18">
        <f>IFERROR(VLOOKUP(E476,Catalogo!$A$2:$H$60,4,FALSE),"")</f>
        <v/>
      </c>
      <c r="G476" s="20">
        <f>IFERROR(VLOOKUP(E476,Catalogo!$A$2:$H$60,5,FALSE),"")</f>
        <v/>
      </c>
      <c r="H476" s="21" t="n"/>
      <c r="I476" s="20">
        <f>IF(G476="","",G476-H476)</f>
        <v/>
      </c>
      <c r="J476" s="20">
        <f>IF(A476="","",SUMIFS(Pagos!$E:$E,Pagos!$D:$D,A476))</f>
        <v/>
      </c>
      <c r="K476" s="20">
        <f>IF(A476="","",I476-J476)</f>
        <v/>
      </c>
      <c r="L476" s="22">
        <f>IF(B476="","",B476+60)</f>
        <v/>
      </c>
    </row>
    <row r="477">
      <c r="A477" s="18">
        <f>IF(C477="","","V"&amp;TEXT(ROW()-1,"000"))</f>
        <v/>
      </c>
      <c r="B477" s="19" t="n"/>
      <c r="D477" s="18">
        <f>IFERROR(VLOOKUP(C477,Alumnos!$A:$B,2,FALSE),"")</f>
        <v/>
      </c>
      <c r="F477" s="18">
        <f>IFERROR(VLOOKUP(E477,Catalogo!$A$2:$H$60,4,FALSE),"")</f>
        <v/>
      </c>
      <c r="G477" s="20">
        <f>IFERROR(VLOOKUP(E477,Catalogo!$A$2:$H$60,5,FALSE),"")</f>
        <v/>
      </c>
      <c r="H477" s="21" t="n"/>
      <c r="I477" s="20">
        <f>IF(G477="","",G477-H477)</f>
        <v/>
      </c>
      <c r="J477" s="20">
        <f>IF(A477="","",SUMIFS(Pagos!$E:$E,Pagos!$D:$D,A477))</f>
        <v/>
      </c>
      <c r="K477" s="20">
        <f>IF(A477="","",I477-J477)</f>
        <v/>
      </c>
      <c r="L477" s="22">
        <f>IF(B477="","",B477+60)</f>
        <v/>
      </c>
    </row>
    <row r="478">
      <c r="A478" s="18">
        <f>IF(C478="","","V"&amp;TEXT(ROW()-1,"000"))</f>
        <v/>
      </c>
      <c r="B478" s="19" t="n"/>
      <c r="D478" s="18">
        <f>IFERROR(VLOOKUP(C478,Alumnos!$A:$B,2,FALSE),"")</f>
        <v/>
      </c>
      <c r="F478" s="18">
        <f>IFERROR(VLOOKUP(E478,Catalogo!$A$2:$H$60,4,FALSE),"")</f>
        <v/>
      </c>
      <c r="G478" s="20">
        <f>IFERROR(VLOOKUP(E478,Catalogo!$A$2:$H$60,5,FALSE),"")</f>
        <v/>
      </c>
      <c r="H478" s="21" t="n"/>
      <c r="I478" s="20">
        <f>IF(G478="","",G478-H478)</f>
        <v/>
      </c>
      <c r="J478" s="20">
        <f>IF(A478="","",SUMIFS(Pagos!$E:$E,Pagos!$D:$D,A478))</f>
        <v/>
      </c>
      <c r="K478" s="20">
        <f>IF(A478="","",I478-J478)</f>
        <v/>
      </c>
      <c r="L478" s="22">
        <f>IF(B478="","",B478+60)</f>
        <v/>
      </c>
    </row>
    <row r="479">
      <c r="A479" s="18">
        <f>IF(C479="","","V"&amp;TEXT(ROW()-1,"000"))</f>
        <v/>
      </c>
      <c r="B479" s="19" t="n"/>
      <c r="D479" s="18">
        <f>IFERROR(VLOOKUP(C479,Alumnos!$A:$B,2,FALSE),"")</f>
        <v/>
      </c>
      <c r="F479" s="18">
        <f>IFERROR(VLOOKUP(E479,Catalogo!$A$2:$H$60,4,FALSE),"")</f>
        <v/>
      </c>
      <c r="G479" s="20">
        <f>IFERROR(VLOOKUP(E479,Catalogo!$A$2:$H$60,5,FALSE),"")</f>
        <v/>
      </c>
      <c r="H479" s="21" t="n"/>
      <c r="I479" s="20">
        <f>IF(G479="","",G479-H479)</f>
        <v/>
      </c>
      <c r="J479" s="20">
        <f>IF(A479="","",SUMIFS(Pagos!$E:$E,Pagos!$D:$D,A479))</f>
        <v/>
      </c>
      <c r="K479" s="20">
        <f>IF(A479="","",I479-J479)</f>
        <v/>
      </c>
      <c r="L479" s="22">
        <f>IF(B479="","",B479+60)</f>
        <v/>
      </c>
    </row>
    <row r="480">
      <c r="A480" s="18">
        <f>IF(C480="","","V"&amp;TEXT(ROW()-1,"000"))</f>
        <v/>
      </c>
      <c r="B480" s="19" t="n"/>
      <c r="D480" s="18">
        <f>IFERROR(VLOOKUP(C480,Alumnos!$A:$B,2,FALSE),"")</f>
        <v/>
      </c>
      <c r="F480" s="18">
        <f>IFERROR(VLOOKUP(E480,Catalogo!$A$2:$H$60,4,FALSE),"")</f>
        <v/>
      </c>
      <c r="G480" s="20">
        <f>IFERROR(VLOOKUP(E480,Catalogo!$A$2:$H$60,5,FALSE),"")</f>
        <v/>
      </c>
      <c r="H480" s="21" t="n"/>
      <c r="I480" s="20">
        <f>IF(G480="","",G480-H480)</f>
        <v/>
      </c>
      <c r="J480" s="20">
        <f>IF(A480="","",SUMIFS(Pagos!$E:$E,Pagos!$D:$D,A480))</f>
        <v/>
      </c>
      <c r="K480" s="20">
        <f>IF(A480="","",I480-J480)</f>
        <v/>
      </c>
      <c r="L480" s="22">
        <f>IF(B480="","",B480+60)</f>
        <v/>
      </c>
    </row>
    <row r="481">
      <c r="A481" s="18">
        <f>IF(C481="","","V"&amp;TEXT(ROW()-1,"000"))</f>
        <v/>
      </c>
      <c r="B481" s="19" t="n"/>
      <c r="D481" s="18">
        <f>IFERROR(VLOOKUP(C481,Alumnos!$A:$B,2,FALSE),"")</f>
        <v/>
      </c>
      <c r="F481" s="18">
        <f>IFERROR(VLOOKUP(E481,Catalogo!$A$2:$H$60,4,FALSE),"")</f>
        <v/>
      </c>
      <c r="G481" s="20">
        <f>IFERROR(VLOOKUP(E481,Catalogo!$A$2:$H$60,5,FALSE),"")</f>
        <v/>
      </c>
      <c r="H481" s="21" t="n"/>
      <c r="I481" s="20">
        <f>IF(G481="","",G481-H481)</f>
        <v/>
      </c>
      <c r="J481" s="20">
        <f>IF(A481="","",SUMIFS(Pagos!$E:$E,Pagos!$D:$D,A481))</f>
        <v/>
      </c>
      <c r="K481" s="20">
        <f>IF(A481="","",I481-J481)</f>
        <v/>
      </c>
      <c r="L481" s="22">
        <f>IF(B481="","",B481+60)</f>
        <v/>
      </c>
    </row>
    <row r="482">
      <c r="A482" s="18">
        <f>IF(C482="","","V"&amp;TEXT(ROW()-1,"000"))</f>
        <v/>
      </c>
      <c r="B482" s="19" t="n"/>
      <c r="D482" s="18">
        <f>IFERROR(VLOOKUP(C482,Alumnos!$A:$B,2,FALSE),"")</f>
        <v/>
      </c>
      <c r="F482" s="18">
        <f>IFERROR(VLOOKUP(E482,Catalogo!$A$2:$H$60,4,FALSE),"")</f>
        <v/>
      </c>
      <c r="G482" s="20">
        <f>IFERROR(VLOOKUP(E482,Catalogo!$A$2:$H$60,5,FALSE),"")</f>
        <v/>
      </c>
      <c r="H482" s="21" t="n"/>
      <c r="I482" s="20">
        <f>IF(G482="","",G482-H482)</f>
        <v/>
      </c>
      <c r="J482" s="20">
        <f>IF(A482="","",SUMIFS(Pagos!$E:$E,Pagos!$D:$D,A482))</f>
        <v/>
      </c>
      <c r="K482" s="20">
        <f>IF(A482="","",I482-J482)</f>
        <v/>
      </c>
      <c r="L482" s="22">
        <f>IF(B482="","",B482+60)</f>
        <v/>
      </c>
    </row>
    <row r="483">
      <c r="A483" s="18">
        <f>IF(C483="","","V"&amp;TEXT(ROW()-1,"000"))</f>
        <v/>
      </c>
      <c r="B483" s="19" t="n"/>
      <c r="D483" s="18">
        <f>IFERROR(VLOOKUP(C483,Alumnos!$A:$B,2,FALSE),"")</f>
        <v/>
      </c>
      <c r="F483" s="18">
        <f>IFERROR(VLOOKUP(E483,Catalogo!$A$2:$H$60,4,FALSE),"")</f>
        <v/>
      </c>
      <c r="G483" s="20">
        <f>IFERROR(VLOOKUP(E483,Catalogo!$A$2:$H$60,5,FALSE),"")</f>
        <v/>
      </c>
      <c r="H483" s="21" t="n"/>
      <c r="I483" s="20">
        <f>IF(G483="","",G483-H483)</f>
        <v/>
      </c>
      <c r="J483" s="20">
        <f>IF(A483="","",SUMIFS(Pagos!$E:$E,Pagos!$D:$D,A483))</f>
        <v/>
      </c>
      <c r="K483" s="20">
        <f>IF(A483="","",I483-J483)</f>
        <v/>
      </c>
      <c r="L483" s="22">
        <f>IF(B483="","",B483+60)</f>
        <v/>
      </c>
    </row>
    <row r="484">
      <c r="A484" s="18">
        <f>IF(C484="","","V"&amp;TEXT(ROW()-1,"000"))</f>
        <v/>
      </c>
      <c r="B484" s="19" t="n"/>
      <c r="D484" s="18">
        <f>IFERROR(VLOOKUP(C484,Alumnos!$A:$B,2,FALSE),"")</f>
        <v/>
      </c>
      <c r="F484" s="18">
        <f>IFERROR(VLOOKUP(E484,Catalogo!$A$2:$H$60,4,FALSE),"")</f>
        <v/>
      </c>
      <c r="G484" s="20">
        <f>IFERROR(VLOOKUP(E484,Catalogo!$A$2:$H$60,5,FALSE),"")</f>
        <v/>
      </c>
      <c r="H484" s="21" t="n"/>
      <c r="I484" s="20">
        <f>IF(G484="","",G484-H484)</f>
        <v/>
      </c>
      <c r="J484" s="20">
        <f>IF(A484="","",SUMIFS(Pagos!$E:$E,Pagos!$D:$D,A484))</f>
        <v/>
      </c>
      <c r="K484" s="20">
        <f>IF(A484="","",I484-J484)</f>
        <v/>
      </c>
      <c r="L484" s="22">
        <f>IF(B484="","",B484+60)</f>
        <v/>
      </c>
    </row>
    <row r="485">
      <c r="A485" s="18">
        <f>IF(C485="","","V"&amp;TEXT(ROW()-1,"000"))</f>
        <v/>
      </c>
      <c r="B485" s="19" t="n"/>
      <c r="D485" s="18">
        <f>IFERROR(VLOOKUP(C485,Alumnos!$A:$B,2,FALSE),"")</f>
        <v/>
      </c>
      <c r="F485" s="18">
        <f>IFERROR(VLOOKUP(E485,Catalogo!$A$2:$H$60,4,FALSE),"")</f>
        <v/>
      </c>
      <c r="G485" s="20">
        <f>IFERROR(VLOOKUP(E485,Catalogo!$A$2:$H$60,5,FALSE),"")</f>
        <v/>
      </c>
      <c r="H485" s="21" t="n"/>
      <c r="I485" s="20">
        <f>IF(G485="","",G485-H485)</f>
        <v/>
      </c>
      <c r="J485" s="20">
        <f>IF(A485="","",SUMIFS(Pagos!$E:$E,Pagos!$D:$D,A485))</f>
        <v/>
      </c>
      <c r="K485" s="20">
        <f>IF(A485="","",I485-J485)</f>
        <v/>
      </c>
      <c r="L485" s="22">
        <f>IF(B485="","",B485+60)</f>
        <v/>
      </c>
    </row>
    <row r="486">
      <c r="A486" s="18">
        <f>IF(C486="","","V"&amp;TEXT(ROW()-1,"000"))</f>
        <v/>
      </c>
      <c r="B486" s="19" t="n"/>
      <c r="D486" s="18">
        <f>IFERROR(VLOOKUP(C486,Alumnos!$A:$B,2,FALSE),"")</f>
        <v/>
      </c>
      <c r="F486" s="18">
        <f>IFERROR(VLOOKUP(E486,Catalogo!$A$2:$H$60,4,FALSE),"")</f>
        <v/>
      </c>
      <c r="G486" s="20">
        <f>IFERROR(VLOOKUP(E486,Catalogo!$A$2:$H$60,5,FALSE),"")</f>
        <v/>
      </c>
      <c r="H486" s="21" t="n"/>
      <c r="I486" s="20">
        <f>IF(G486="","",G486-H486)</f>
        <v/>
      </c>
      <c r="J486" s="20">
        <f>IF(A486="","",SUMIFS(Pagos!$E:$E,Pagos!$D:$D,A486))</f>
        <v/>
      </c>
      <c r="K486" s="20">
        <f>IF(A486="","",I486-J486)</f>
        <v/>
      </c>
      <c r="L486" s="22">
        <f>IF(B486="","",B486+60)</f>
        <v/>
      </c>
    </row>
    <row r="487">
      <c r="A487" s="18">
        <f>IF(C487="","","V"&amp;TEXT(ROW()-1,"000"))</f>
        <v/>
      </c>
      <c r="B487" s="19" t="n"/>
      <c r="D487" s="18">
        <f>IFERROR(VLOOKUP(C487,Alumnos!$A:$B,2,FALSE),"")</f>
        <v/>
      </c>
      <c r="F487" s="18">
        <f>IFERROR(VLOOKUP(E487,Catalogo!$A$2:$H$60,4,FALSE),"")</f>
        <v/>
      </c>
      <c r="G487" s="20">
        <f>IFERROR(VLOOKUP(E487,Catalogo!$A$2:$H$60,5,FALSE),"")</f>
        <v/>
      </c>
      <c r="H487" s="21" t="n"/>
      <c r="I487" s="20">
        <f>IF(G487="","",G487-H487)</f>
        <v/>
      </c>
      <c r="J487" s="20">
        <f>IF(A487="","",SUMIFS(Pagos!$E:$E,Pagos!$D:$D,A487))</f>
        <v/>
      </c>
      <c r="K487" s="20">
        <f>IF(A487="","",I487-J487)</f>
        <v/>
      </c>
      <c r="L487" s="22">
        <f>IF(B487="","",B487+60)</f>
        <v/>
      </c>
    </row>
    <row r="488">
      <c r="A488" s="18">
        <f>IF(C488="","","V"&amp;TEXT(ROW()-1,"000"))</f>
        <v/>
      </c>
      <c r="B488" s="19" t="n"/>
      <c r="D488" s="18">
        <f>IFERROR(VLOOKUP(C488,Alumnos!$A:$B,2,FALSE),"")</f>
        <v/>
      </c>
      <c r="F488" s="18">
        <f>IFERROR(VLOOKUP(E488,Catalogo!$A$2:$H$60,4,FALSE),"")</f>
        <v/>
      </c>
      <c r="G488" s="20">
        <f>IFERROR(VLOOKUP(E488,Catalogo!$A$2:$H$60,5,FALSE),"")</f>
        <v/>
      </c>
      <c r="H488" s="21" t="n"/>
      <c r="I488" s="20">
        <f>IF(G488="","",G488-H488)</f>
        <v/>
      </c>
      <c r="J488" s="20">
        <f>IF(A488="","",SUMIFS(Pagos!$E:$E,Pagos!$D:$D,A488))</f>
        <v/>
      </c>
      <c r="K488" s="20">
        <f>IF(A488="","",I488-J488)</f>
        <v/>
      </c>
      <c r="L488" s="22">
        <f>IF(B488="","",B488+60)</f>
        <v/>
      </c>
    </row>
    <row r="489">
      <c r="A489" s="18">
        <f>IF(C489="","","V"&amp;TEXT(ROW()-1,"000"))</f>
        <v/>
      </c>
      <c r="B489" s="19" t="n"/>
      <c r="D489" s="18">
        <f>IFERROR(VLOOKUP(C489,Alumnos!$A:$B,2,FALSE),"")</f>
        <v/>
      </c>
      <c r="F489" s="18">
        <f>IFERROR(VLOOKUP(E489,Catalogo!$A$2:$H$60,4,FALSE),"")</f>
        <v/>
      </c>
      <c r="G489" s="20">
        <f>IFERROR(VLOOKUP(E489,Catalogo!$A$2:$H$60,5,FALSE),"")</f>
        <v/>
      </c>
      <c r="H489" s="21" t="n"/>
      <c r="I489" s="20">
        <f>IF(G489="","",G489-H489)</f>
        <v/>
      </c>
      <c r="J489" s="20">
        <f>IF(A489="","",SUMIFS(Pagos!$E:$E,Pagos!$D:$D,A489))</f>
        <v/>
      </c>
      <c r="K489" s="20">
        <f>IF(A489="","",I489-J489)</f>
        <v/>
      </c>
      <c r="L489" s="22">
        <f>IF(B489="","",B489+60)</f>
        <v/>
      </c>
    </row>
    <row r="490">
      <c r="A490" s="18">
        <f>IF(C490="","","V"&amp;TEXT(ROW()-1,"000"))</f>
        <v/>
      </c>
      <c r="B490" s="19" t="n"/>
      <c r="D490" s="18">
        <f>IFERROR(VLOOKUP(C490,Alumnos!$A:$B,2,FALSE),"")</f>
        <v/>
      </c>
      <c r="F490" s="18">
        <f>IFERROR(VLOOKUP(E490,Catalogo!$A$2:$H$60,4,FALSE),"")</f>
        <v/>
      </c>
      <c r="G490" s="20">
        <f>IFERROR(VLOOKUP(E490,Catalogo!$A$2:$H$60,5,FALSE),"")</f>
        <v/>
      </c>
      <c r="H490" s="21" t="n"/>
      <c r="I490" s="20">
        <f>IF(G490="","",G490-H490)</f>
        <v/>
      </c>
      <c r="J490" s="20">
        <f>IF(A490="","",SUMIFS(Pagos!$E:$E,Pagos!$D:$D,A490))</f>
        <v/>
      </c>
      <c r="K490" s="20">
        <f>IF(A490="","",I490-J490)</f>
        <v/>
      </c>
      <c r="L490" s="22">
        <f>IF(B490="","",B490+60)</f>
        <v/>
      </c>
    </row>
    <row r="491">
      <c r="A491" s="18">
        <f>IF(C491="","","V"&amp;TEXT(ROW()-1,"000"))</f>
        <v/>
      </c>
      <c r="B491" s="19" t="n"/>
      <c r="D491" s="18">
        <f>IFERROR(VLOOKUP(C491,Alumnos!$A:$B,2,FALSE),"")</f>
        <v/>
      </c>
      <c r="F491" s="18">
        <f>IFERROR(VLOOKUP(E491,Catalogo!$A$2:$H$60,4,FALSE),"")</f>
        <v/>
      </c>
      <c r="G491" s="20">
        <f>IFERROR(VLOOKUP(E491,Catalogo!$A$2:$H$60,5,FALSE),"")</f>
        <v/>
      </c>
      <c r="H491" s="21" t="n"/>
      <c r="I491" s="20">
        <f>IF(G491="","",G491-H491)</f>
        <v/>
      </c>
      <c r="J491" s="20">
        <f>IF(A491="","",SUMIFS(Pagos!$E:$E,Pagos!$D:$D,A491))</f>
        <v/>
      </c>
      <c r="K491" s="20">
        <f>IF(A491="","",I491-J491)</f>
        <v/>
      </c>
      <c r="L491" s="22">
        <f>IF(B491="","",B491+60)</f>
        <v/>
      </c>
    </row>
    <row r="492">
      <c r="A492" s="18">
        <f>IF(C492="","","V"&amp;TEXT(ROW()-1,"000"))</f>
        <v/>
      </c>
      <c r="B492" s="19" t="n"/>
      <c r="D492" s="18">
        <f>IFERROR(VLOOKUP(C492,Alumnos!$A:$B,2,FALSE),"")</f>
        <v/>
      </c>
      <c r="F492" s="18">
        <f>IFERROR(VLOOKUP(E492,Catalogo!$A$2:$H$60,4,FALSE),"")</f>
        <v/>
      </c>
      <c r="G492" s="20">
        <f>IFERROR(VLOOKUP(E492,Catalogo!$A$2:$H$60,5,FALSE),"")</f>
        <v/>
      </c>
      <c r="H492" s="21" t="n"/>
      <c r="I492" s="20">
        <f>IF(G492="","",G492-H492)</f>
        <v/>
      </c>
      <c r="J492" s="20">
        <f>IF(A492="","",SUMIFS(Pagos!$E:$E,Pagos!$D:$D,A492))</f>
        <v/>
      </c>
      <c r="K492" s="20">
        <f>IF(A492="","",I492-J492)</f>
        <v/>
      </c>
      <c r="L492" s="22">
        <f>IF(B492="","",B492+60)</f>
        <v/>
      </c>
    </row>
    <row r="493">
      <c r="A493" s="18">
        <f>IF(C493="","","V"&amp;TEXT(ROW()-1,"000"))</f>
        <v/>
      </c>
      <c r="B493" s="19" t="n"/>
      <c r="D493" s="18">
        <f>IFERROR(VLOOKUP(C493,Alumnos!$A:$B,2,FALSE),"")</f>
        <v/>
      </c>
      <c r="F493" s="18">
        <f>IFERROR(VLOOKUP(E493,Catalogo!$A$2:$H$60,4,FALSE),"")</f>
        <v/>
      </c>
      <c r="G493" s="20">
        <f>IFERROR(VLOOKUP(E493,Catalogo!$A$2:$H$60,5,FALSE),"")</f>
        <v/>
      </c>
      <c r="H493" s="21" t="n"/>
      <c r="I493" s="20">
        <f>IF(G493="","",G493-H493)</f>
        <v/>
      </c>
      <c r="J493" s="20">
        <f>IF(A493="","",SUMIFS(Pagos!$E:$E,Pagos!$D:$D,A493))</f>
        <v/>
      </c>
      <c r="K493" s="20">
        <f>IF(A493="","",I493-J493)</f>
        <v/>
      </c>
      <c r="L493" s="22">
        <f>IF(B493="","",B493+60)</f>
        <v/>
      </c>
    </row>
    <row r="494">
      <c r="A494" s="18">
        <f>IF(C494="","","V"&amp;TEXT(ROW()-1,"000"))</f>
        <v/>
      </c>
      <c r="B494" s="19" t="n"/>
      <c r="D494" s="18">
        <f>IFERROR(VLOOKUP(C494,Alumnos!$A:$B,2,FALSE),"")</f>
        <v/>
      </c>
      <c r="F494" s="18">
        <f>IFERROR(VLOOKUP(E494,Catalogo!$A$2:$H$60,4,FALSE),"")</f>
        <v/>
      </c>
      <c r="G494" s="20">
        <f>IFERROR(VLOOKUP(E494,Catalogo!$A$2:$H$60,5,FALSE),"")</f>
        <v/>
      </c>
      <c r="H494" s="21" t="n"/>
      <c r="I494" s="20">
        <f>IF(G494="","",G494-H494)</f>
        <v/>
      </c>
      <c r="J494" s="20">
        <f>IF(A494="","",SUMIFS(Pagos!$E:$E,Pagos!$D:$D,A494))</f>
        <v/>
      </c>
      <c r="K494" s="20">
        <f>IF(A494="","",I494-J494)</f>
        <v/>
      </c>
      <c r="L494" s="22">
        <f>IF(B494="","",B494+60)</f>
        <v/>
      </c>
    </row>
    <row r="495">
      <c r="A495" s="18">
        <f>IF(C495="","","V"&amp;TEXT(ROW()-1,"000"))</f>
        <v/>
      </c>
      <c r="B495" s="19" t="n"/>
      <c r="D495" s="18">
        <f>IFERROR(VLOOKUP(C495,Alumnos!$A:$B,2,FALSE),"")</f>
        <v/>
      </c>
      <c r="F495" s="18">
        <f>IFERROR(VLOOKUP(E495,Catalogo!$A$2:$H$60,4,FALSE),"")</f>
        <v/>
      </c>
      <c r="G495" s="20">
        <f>IFERROR(VLOOKUP(E495,Catalogo!$A$2:$H$60,5,FALSE),"")</f>
        <v/>
      </c>
      <c r="H495" s="21" t="n"/>
      <c r="I495" s="20">
        <f>IF(G495="","",G495-H495)</f>
        <v/>
      </c>
      <c r="J495" s="20">
        <f>IF(A495="","",SUMIFS(Pagos!$E:$E,Pagos!$D:$D,A495))</f>
        <v/>
      </c>
      <c r="K495" s="20">
        <f>IF(A495="","",I495-J495)</f>
        <v/>
      </c>
      <c r="L495" s="22">
        <f>IF(B495="","",B495+60)</f>
        <v/>
      </c>
    </row>
    <row r="496">
      <c r="A496" s="18">
        <f>IF(C496="","","V"&amp;TEXT(ROW()-1,"000"))</f>
        <v/>
      </c>
      <c r="B496" s="19" t="n"/>
      <c r="D496" s="18">
        <f>IFERROR(VLOOKUP(C496,Alumnos!$A:$B,2,FALSE),"")</f>
        <v/>
      </c>
      <c r="F496" s="18">
        <f>IFERROR(VLOOKUP(E496,Catalogo!$A$2:$H$60,4,FALSE),"")</f>
        <v/>
      </c>
      <c r="G496" s="20">
        <f>IFERROR(VLOOKUP(E496,Catalogo!$A$2:$H$60,5,FALSE),"")</f>
        <v/>
      </c>
      <c r="H496" s="21" t="n"/>
      <c r="I496" s="20">
        <f>IF(G496="","",G496-H496)</f>
        <v/>
      </c>
      <c r="J496" s="20">
        <f>IF(A496="","",SUMIFS(Pagos!$E:$E,Pagos!$D:$D,A496))</f>
        <v/>
      </c>
      <c r="K496" s="20">
        <f>IF(A496="","",I496-J496)</f>
        <v/>
      </c>
      <c r="L496" s="22">
        <f>IF(B496="","",B496+60)</f>
        <v/>
      </c>
    </row>
    <row r="497">
      <c r="A497" s="18">
        <f>IF(C497="","","V"&amp;TEXT(ROW()-1,"000"))</f>
        <v/>
      </c>
      <c r="B497" s="19" t="n"/>
      <c r="D497" s="18">
        <f>IFERROR(VLOOKUP(C497,Alumnos!$A:$B,2,FALSE),"")</f>
        <v/>
      </c>
      <c r="F497" s="18">
        <f>IFERROR(VLOOKUP(E497,Catalogo!$A$2:$H$60,4,FALSE),"")</f>
        <v/>
      </c>
      <c r="G497" s="20">
        <f>IFERROR(VLOOKUP(E497,Catalogo!$A$2:$H$60,5,FALSE),"")</f>
        <v/>
      </c>
      <c r="H497" s="21" t="n"/>
      <c r="I497" s="20">
        <f>IF(G497="","",G497-H497)</f>
        <v/>
      </c>
      <c r="J497" s="20">
        <f>IF(A497="","",SUMIFS(Pagos!$E:$E,Pagos!$D:$D,A497))</f>
        <v/>
      </c>
      <c r="K497" s="20">
        <f>IF(A497="","",I497-J497)</f>
        <v/>
      </c>
      <c r="L497" s="22">
        <f>IF(B497="","",B497+60)</f>
        <v/>
      </c>
    </row>
    <row r="498">
      <c r="A498" s="18">
        <f>IF(C498="","","V"&amp;TEXT(ROW()-1,"000"))</f>
        <v/>
      </c>
      <c r="B498" s="19" t="n"/>
      <c r="D498" s="18">
        <f>IFERROR(VLOOKUP(C498,Alumnos!$A:$B,2,FALSE),"")</f>
        <v/>
      </c>
      <c r="F498" s="18">
        <f>IFERROR(VLOOKUP(E498,Catalogo!$A$2:$H$60,4,FALSE),"")</f>
        <v/>
      </c>
      <c r="G498" s="20">
        <f>IFERROR(VLOOKUP(E498,Catalogo!$A$2:$H$60,5,FALSE),"")</f>
        <v/>
      </c>
      <c r="H498" s="21" t="n"/>
      <c r="I498" s="20">
        <f>IF(G498="","",G498-H498)</f>
        <v/>
      </c>
      <c r="J498" s="20">
        <f>IF(A498="","",SUMIFS(Pagos!$E:$E,Pagos!$D:$D,A498))</f>
        <v/>
      </c>
      <c r="K498" s="20">
        <f>IF(A498="","",I498-J498)</f>
        <v/>
      </c>
      <c r="L498" s="22">
        <f>IF(B498="","",B498+60)</f>
        <v/>
      </c>
    </row>
    <row r="499">
      <c r="A499" s="18">
        <f>IF(C499="","","V"&amp;TEXT(ROW()-1,"000"))</f>
        <v/>
      </c>
      <c r="B499" s="19" t="n"/>
      <c r="D499" s="18">
        <f>IFERROR(VLOOKUP(C499,Alumnos!$A:$B,2,FALSE),"")</f>
        <v/>
      </c>
      <c r="F499" s="18">
        <f>IFERROR(VLOOKUP(E499,Catalogo!$A$2:$H$60,4,FALSE),"")</f>
        <v/>
      </c>
      <c r="G499" s="20">
        <f>IFERROR(VLOOKUP(E499,Catalogo!$A$2:$H$60,5,FALSE),"")</f>
        <v/>
      </c>
      <c r="H499" s="21" t="n"/>
      <c r="I499" s="20">
        <f>IF(G499="","",G499-H499)</f>
        <v/>
      </c>
      <c r="J499" s="20">
        <f>IF(A499="","",SUMIFS(Pagos!$E:$E,Pagos!$D:$D,A499))</f>
        <v/>
      </c>
      <c r="K499" s="20">
        <f>IF(A499="","",I499-J499)</f>
        <v/>
      </c>
      <c r="L499" s="22">
        <f>IF(B499="","",B499+60)</f>
        <v/>
      </c>
    </row>
    <row r="500">
      <c r="A500" s="18">
        <f>IF(C500="","","V"&amp;TEXT(ROW()-1,"000"))</f>
        <v/>
      </c>
      <c r="B500" s="19" t="n"/>
      <c r="D500" s="18">
        <f>IFERROR(VLOOKUP(C500,Alumnos!$A:$B,2,FALSE),"")</f>
        <v/>
      </c>
      <c r="F500" s="18">
        <f>IFERROR(VLOOKUP(E500,Catalogo!$A$2:$H$60,4,FALSE),"")</f>
        <v/>
      </c>
      <c r="G500" s="20">
        <f>IFERROR(VLOOKUP(E500,Catalogo!$A$2:$H$60,5,FALSE),"")</f>
        <v/>
      </c>
      <c r="H500" s="21" t="n"/>
      <c r="I500" s="20">
        <f>IF(G500="","",G500-H500)</f>
        <v/>
      </c>
      <c r="J500" s="20">
        <f>IF(A500="","",SUMIFS(Pagos!$E:$E,Pagos!$D:$D,A500))</f>
        <v/>
      </c>
      <c r="K500" s="20">
        <f>IF(A500="","",I500-J500)</f>
        <v/>
      </c>
      <c r="L500" s="22">
        <f>IF(B500="","",B500+60)</f>
        <v/>
      </c>
    </row>
    <row r="501">
      <c r="A501" s="18">
        <f>IF(C501="","","V"&amp;TEXT(ROW()-1,"000"))</f>
        <v/>
      </c>
      <c r="B501" s="19" t="n"/>
      <c r="D501" s="18">
        <f>IFERROR(VLOOKUP(C501,Alumnos!$A:$B,2,FALSE),"")</f>
        <v/>
      </c>
      <c r="F501" s="18">
        <f>IFERROR(VLOOKUP(E501,Catalogo!$A$2:$H$60,4,FALSE),"")</f>
        <v/>
      </c>
      <c r="G501" s="20">
        <f>IFERROR(VLOOKUP(E501,Catalogo!$A$2:$H$60,5,FALSE),"")</f>
        <v/>
      </c>
      <c r="H501" s="21" t="n"/>
      <c r="I501" s="20">
        <f>IF(G501="","",G501-H501)</f>
        <v/>
      </c>
      <c r="J501" s="20">
        <f>IF(A501="","",SUMIFS(Pagos!$E:$E,Pagos!$D:$D,A501))</f>
        <v/>
      </c>
      <c r="K501" s="20">
        <f>IF(A501="","",I501-J501)</f>
        <v/>
      </c>
      <c r="L501" s="22">
        <f>IF(B501="","",B501+60)</f>
        <v/>
      </c>
    </row>
  </sheetData>
  <conditionalFormatting sqref="K2:K501">
    <cfRule type="cellIs" priority="1" operator="greaterThan" dxfId="0">
      <formula>0</formula>
    </cfRule>
  </conditionalFormatting>
  <dataValidations count="2">
    <dataValidation sqref="E2:E501" showDropDown="0" showInputMessage="0" showErrorMessage="0" allowBlank="1" type="list">
      <formula1>Catalogo!$A$2:$A$60</formula1>
    </dataValidation>
    <dataValidation sqref="M2:M501" showDropDown="0" showInputMessage="0" showErrorMessage="0" allowBlank="1" type="list">
      <formula1>Listas!$I$2:$I$10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A2A6"/>
    <outlinePr summaryBelow="1" summaryRight="1"/>
    <pageSetUpPr/>
  </sheetPr>
  <dimension ref="A1: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9" customWidth="1" min="4" max="4"/>
    <col width="12" customWidth="1" min="5" max="5"/>
    <col width="12" customWidth="1" min="6" max="6"/>
    <col width="12" customWidth="1" min="7" max="7"/>
    <col width="22" customWidth="1" min="8" max="8"/>
    <col width="28" customWidth="1" min="9" max="9"/>
  </cols>
  <sheetData>
    <row r="1" ht="32" customHeight="1">
      <c r="A1" s="17" t="inlineStr">
        <is>
          <t>Fecha</t>
        </is>
      </c>
      <c r="B1" s="17" t="inlineStr">
        <is>
          <t>N° operación</t>
        </is>
      </c>
      <c r="C1" s="17" t="inlineStr">
        <is>
          <t>ID alumno</t>
        </is>
      </c>
      <c r="D1" s="17" t="inlineStr">
        <is>
          <t>ID venta</t>
        </is>
      </c>
      <c r="E1" s="17" t="inlineStr">
        <is>
          <t>Monto (S/)</t>
        </is>
      </c>
      <c r="F1" s="17" t="inlineStr">
        <is>
          <t>Medio</t>
        </is>
      </c>
      <c r="G1" s="17" t="inlineStr">
        <is>
          <t>¿Comprobante recibido?</t>
        </is>
      </c>
      <c r="H1" s="16" t="inlineStr">
        <is>
          <t>Alumno</t>
        </is>
      </c>
      <c r="I1" s="17" t="inlineStr">
        <is>
          <t>Notas</t>
        </is>
      </c>
    </row>
    <row r="2">
      <c r="A2" s="19" t="n"/>
      <c r="E2" s="21" t="n"/>
      <c r="H2" s="18">
        <f>IFERROR(VLOOKUP(C2,Alumnos!$A:$B,2,FALSE),"")</f>
        <v/>
      </c>
    </row>
    <row r="3">
      <c r="A3" s="19" t="n"/>
      <c r="E3" s="21" t="n"/>
      <c r="H3" s="18">
        <f>IFERROR(VLOOKUP(C3,Alumnos!$A:$B,2,FALSE),"")</f>
        <v/>
      </c>
    </row>
    <row r="4">
      <c r="A4" s="19" t="n"/>
      <c r="E4" s="21" t="n"/>
      <c r="H4" s="18">
        <f>IFERROR(VLOOKUP(C4,Alumnos!$A:$B,2,FALSE),"")</f>
        <v/>
      </c>
    </row>
    <row r="5">
      <c r="A5" s="19" t="n"/>
      <c r="E5" s="21" t="n"/>
      <c r="H5" s="18">
        <f>IFERROR(VLOOKUP(C5,Alumnos!$A:$B,2,FALSE),"")</f>
        <v/>
      </c>
    </row>
    <row r="6">
      <c r="A6" s="19" t="n"/>
      <c r="E6" s="21" t="n"/>
      <c r="H6" s="18">
        <f>IFERROR(VLOOKUP(C6,Alumnos!$A:$B,2,FALSE),"")</f>
        <v/>
      </c>
    </row>
    <row r="7">
      <c r="A7" s="19" t="n"/>
      <c r="E7" s="21" t="n"/>
      <c r="H7" s="18">
        <f>IFERROR(VLOOKUP(C7,Alumnos!$A:$B,2,FALSE),"")</f>
        <v/>
      </c>
    </row>
    <row r="8">
      <c r="A8" s="19" t="n"/>
      <c r="E8" s="21" t="n"/>
      <c r="H8" s="18">
        <f>IFERROR(VLOOKUP(C8,Alumnos!$A:$B,2,FALSE),"")</f>
        <v/>
      </c>
    </row>
    <row r="9">
      <c r="A9" s="19" t="n"/>
      <c r="E9" s="21" t="n"/>
      <c r="H9" s="18">
        <f>IFERROR(VLOOKUP(C9,Alumnos!$A:$B,2,FALSE),"")</f>
        <v/>
      </c>
    </row>
    <row r="10">
      <c r="A10" s="19" t="n"/>
      <c r="E10" s="21" t="n"/>
      <c r="H10" s="18">
        <f>IFERROR(VLOOKUP(C10,Alumnos!$A:$B,2,FALSE),"")</f>
        <v/>
      </c>
    </row>
    <row r="11">
      <c r="A11" s="19" t="n"/>
      <c r="E11" s="21" t="n"/>
      <c r="H11" s="18">
        <f>IFERROR(VLOOKUP(C11,Alumnos!$A:$B,2,FALSE),"")</f>
        <v/>
      </c>
    </row>
    <row r="12">
      <c r="A12" s="19" t="n"/>
      <c r="E12" s="21" t="n"/>
      <c r="H12" s="18">
        <f>IFERROR(VLOOKUP(C12,Alumnos!$A:$B,2,FALSE),"")</f>
        <v/>
      </c>
    </row>
    <row r="13">
      <c r="A13" s="19" t="n"/>
      <c r="E13" s="21" t="n"/>
      <c r="H13" s="18">
        <f>IFERROR(VLOOKUP(C13,Alumnos!$A:$B,2,FALSE),"")</f>
        <v/>
      </c>
    </row>
    <row r="14">
      <c r="A14" s="19" t="n"/>
      <c r="E14" s="21" t="n"/>
      <c r="H14" s="18">
        <f>IFERROR(VLOOKUP(C14,Alumnos!$A:$B,2,FALSE),"")</f>
        <v/>
      </c>
    </row>
    <row r="15">
      <c r="A15" s="19" t="n"/>
      <c r="E15" s="21" t="n"/>
      <c r="H15" s="18">
        <f>IFERROR(VLOOKUP(C15,Alumnos!$A:$B,2,FALSE),"")</f>
        <v/>
      </c>
    </row>
    <row r="16">
      <c r="A16" s="19" t="n"/>
      <c r="E16" s="21" t="n"/>
      <c r="H16" s="18">
        <f>IFERROR(VLOOKUP(C16,Alumnos!$A:$B,2,FALSE),"")</f>
        <v/>
      </c>
    </row>
    <row r="17">
      <c r="A17" s="19" t="n"/>
      <c r="E17" s="21" t="n"/>
      <c r="H17" s="18">
        <f>IFERROR(VLOOKUP(C17,Alumnos!$A:$B,2,FALSE),"")</f>
        <v/>
      </c>
    </row>
    <row r="18">
      <c r="A18" s="19" t="n"/>
      <c r="E18" s="21" t="n"/>
      <c r="H18" s="18">
        <f>IFERROR(VLOOKUP(C18,Alumnos!$A:$B,2,FALSE),"")</f>
        <v/>
      </c>
    </row>
    <row r="19">
      <c r="A19" s="19" t="n"/>
      <c r="E19" s="21" t="n"/>
      <c r="H19" s="18">
        <f>IFERROR(VLOOKUP(C19,Alumnos!$A:$B,2,FALSE),"")</f>
        <v/>
      </c>
    </row>
    <row r="20">
      <c r="A20" s="19" t="n"/>
      <c r="E20" s="21" t="n"/>
      <c r="H20" s="18">
        <f>IFERROR(VLOOKUP(C20,Alumnos!$A:$B,2,FALSE),"")</f>
        <v/>
      </c>
    </row>
    <row r="21">
      <c r="A21" s="19" t="n"/>
      <c r="E21" s="21" t="n"/>
      <c r="H21" s="18">
        <f>IFERROR(VLOOKUP(C21,Alumnos!$A:$B,2,FALSE),"")</f>
        <v/>
      </c>
    </row>
    <row r="22">
      <c r="A22" s="19" t="n"/>
      <c r="E22" s="21" t="n"/>
      <c r="H22" s="18">
        <f>IFERROR(VLOOKUP(C22,Alumnos!$A:$B,2,FALSE),"")</f>
        <v/>
      </c>
    </row>
    <row r="23">
      <c r="A23" s="19" t="n"/>
      <c r="E23" s="21" t="n"/>
      <c r="H23" s="18">
        <f>IFERROR(VLOOKUP(C23,Alumnos!$A:$B,2,FALSE),"")</f>
        <v/>
      </c>
    </row>
    <row r="24">
      <c r="A24" s="19" t="n"/>
      <c r="E24" s="21" t="n"/>
      <c r="H24" s="18">
        <f>IFERROR(VLOOKUP(C24,Alumnos!$A:$B,2,FALSE),"")</f>
        <v/>
      </c>
    </row>
    <row r="25">
      <c r="A25" s="19" t="n"/>
      <c r="E25" s="21" t="n"/>
      <c r="H25" s="18">
        <f>IFERROR(VLOOKUP(C25,Alumnos!$A:$B,2,FALSE),"")</f>
        <v/>
      </c>
    </row>
    <row r="26">
      <c r="A26" s="19" t="n"/>
      <c r="E26" s="21" t="n"/>
      <c r="H26" s="18">
        <f>IFERROR(VLOOKUP(C26,Alumnos!$A:$B,2,FALSE),"")</f>
        <v/>
      </c>
    </row>
    <row r="27">
      <c r="A27" s="19" t="n"/>
      <c r="E27" s="21" t="n"/>
      <c r="H27" s="18">
        <f>IFERROR(VLOOKUP(C27,Alumnos!$A:$B,2,FALSE),"")</f>
        <v/>
      </c>
    </row>
    <row r="28">
      <c r="A28" s="19" t="n"/>
      <c r="E28" s="21" t="n"/>
      <c r="H28" s="18">
        <f>IFERROR(VLOOKUP(C28,Alumnos!$A:$B,2,FALSE),"")</f>
        <v/>
      </c>
    </row>
    <row r="29">
      <c r="A29" s="19" t="n"/>
      <c r="E29" s="21" t="n"/>
      <c r="H29" s="18">
        <f>IFERROR(VLOOKUP(C29,Alumnos!$A:$B,2,FALSE),"")</f>
        <v/>
      </c>
    </row>
    <row r="30">
      <c r="A30" s="19" t="n"/>
      <c r="E30" s="21" t="n"/>
      <c r="H30" s="18">
        <f>IFERROR(VLOOKUP(C30,Alumnos!$A:$B,2,FALSE),"")</f>
        <v/>
      </c>
    </row>
    <row r="31">
      <c r="A31" s="19" t="n"/>
      <c r="E31" s="21" t="n"/>
      <c r="H31" s="18">
        <f>IFERROR(VLOOKUP(C31,Alumnos!$A:$B,2,FALSE),"")</f>
        <v/>
      </c>
    </row>
    <row r="32">
      <c r="A32" s="19" t="n"/>
      <c r="E32" s="21" t="n"/>
      <c r="H32" s="18">
        <f>IFERROR(VLOOKUP(C32,Alumnos!$A:$B,2,FALSE),"")</f>
        <v/>
      </c>
    </row>
    <row r="33">
      <c r="A33" s="19" t="n"/>
      <c r="E33" s="21" t="n"/>
      <c r="H33" s="18">
        <f>IFERROR(VLOOKUP(C33,Alumnos!$A:$B,2,FALSE),"")</f>
        <v/>
      </c>
    </row>
    <row r="34">
      <c r="A34" s="19" t="n"/>
      <c r="E34" s="21" t="n"/>
      <c r="H34" s="18">
        <f>IFERROR(VLOOKUP(C34,Alumnos!$A:$B,2,FALSE),"")</f>
        <v/>
      </c>
    </row>
    <row r="35">
      <c r="A35" s="19" t="n"/>
      <c r="E35" s="21" t="n"/>
      <c r="H35" s="18">
        <f>IFERROR(VLOOKUP(C35,Alumnos!$A:$B,2,FALSE),"")</f>
        <v/>
      </c>
    </row>
    <row r="36">
      <c r="A36" s="19" t="n"/>
      <c r="E36" s="21" t="n"/>
      <c r="H36" s="18">
        <f>IFERROR(VLOOKUP(C36,Alumnos!$A:$B,2,FALSE),"")</f>
        <v/>
      </c>
    </row>
    <row r="37">
      <c r="A37" s="19" t="n"/>
      <c r="E37" s="21" t="n"/>
      <c r="H37" s="18">
        <f>IFERROR(VLOOKUP(C37,Alumnos!$A:$B,2,FALSE),"")</f>
        <v/>
      </c>
    </row>
    <row r="38">
      <c r="A38" s="19" t="n"/>
      <c r="E38" s="21" t="n"/>
      <c r="H38" s="18">
        <f>IFERROR(VLOOKUP(C38,Alumnos!$A:$B,2,FALSE),"")</f>
        <v/>
      </c>
    </row>
    <row r="39">
      <c r="A39" s="19" t="n"/>
      <c r="E39" s="21" t="n"/>
      <c r="H39" s="18">
        <f>IFERROR(VLOOKUP(C39,Alumnos!$A:$B,2,FALSE),"")</f>
        <v/>
      </c>
    </row>
    <row r="40">
      <c r="A40" s="19" t="n"/>
      <c r="E40" s="21" t="n"/>
      <c r="H40" s="18">
        <f>IFERROR(VLOOKUP(C40,Alumnos!$A:$B,2,FALSE),"")</f>
        <v/>
      </c>
    </row>
    <row r="41">
      <c r="A41" s="19" t="n"/>
      <c r="E41" s="21" t="n"/>
      <c r="H41" s="18">
        <f>IFERROR(VLOOKUP(C41,Alumnos!$A:$B,2,FALSE),"")</f>
        <v/>
      </c>
    </row>
    <row r="42">
      <c r="A42" s="19" t="n"/>
      <c r="E42" s="21" t="n"/>
      <c r="H42" s="18">
        <f>IFERROR(VLOOKUP(C42,Alumnos!$A:$B,2,FALSE),"")</f>
        <v/>
      </c>
    </row>
    <row r="43">
      <c r="A43" s="19" t="n"/>
      <c r="E43" s="21" t="n"/>
      <c r="H43" s="18">
        <f>IFERROR(VLOOKUP(C43,Alumnos!$A:$B,2,FALSE),"")</f>
        <v/>
      </c>
    </row>
    <row r="44">
      <c r="A44" s="19" t="n"/>
      <c r="E44" s="21" t="n"/>
      <c r="H44" s="18">
        <f>IFERROR(VLOOKUP(C44,Alumnos!$A:$B,2,FALSE),"")</f>
        <v/>
      </c>
    </row>
    <row r="45">
      <c r="A45" s="19" t="n"/>
      <c r="E45" s="21" t="n"/>
      <c r="H45" s="18">
        <f>IFERROR(VLOOKUP(C45,Alumnos!$A:$B,2,FALSE),"")</f>
        <v/>
      </c>
    </row>
    <row r="46">
      <c r="A46" s="19" t="n"/>
      <c r="E46" s="21" t="n"/>
      <c r="H46" s="18">
        <f>IFERROR(VLOOKUP(C46,Alumnos!$A:$B,2,FALSE),"")</f>
        <v/>
      </c>
    </row>
    <row r="47">
      <c r="A47" s="19" t="n"/>
      <c r="E47" s="21" t="n"/>
      <c r="H47" s="18">
        <f>IFERROR(VLOOKUP(C47,Alumnos!$A:$B,2,FALSE),"")</f>
        <v/>
      </c>
    </row>
    <row r="48">
      <c r="A48" s="19" t="n"/>
      <c r="E48" s="21" t="n"/>
      <c r="H48" s="18">
        <f>IFERROR(VLOOKUP(C48,Alumnos!$A:$B,2,FALSE),"")</f>
        <v/>
      </c>
    </row>
    <row r="49">
      <c r="A49" s="19" t="n"/>
      <c r="E49" s="21" t="n"/>
      <c r="H49" s="18">
        <f>IFERROR(VLOOKUP(C49,Alumnos!$A:$B,2,FALSE),"")</f>
        <v/>
      </c>
    </row>
    <row r="50">
      <c r="A50" s="19" t="n"/>
      <c r="E50" s="21" t="n"/>
      <c r="H50" s="18">
        <f>IFERROR(VLOOKUP(C50,Alumnos!$A:$B,2,FALSE),"")</f>
        <v/>
      </c>
    </row>
    <row r="51">
      <c r="A51" s="19" t="n"/>
      <c r="E51" s="21" t="n"/>
      <c r="H51" s="18">
        <f>IFERROR(VLOOKUP(C51,Alumnos!$A:$B,2,FALSE),"")</f>
        <v/>
      </c>
    </row>
    <row r="52">
      <c r="A52" s="19" t="n"/>
      <c r="E52" s="21" t="n"/>
      <c r="H52" s="18">
        <f>IFERROR(VLOOKUP(C52,Alumnos!$A:$B,2,FALSE),"")</f>
        <v/>
      </c>
    </row>
    <row r="53">
      <c r="A53" s="19" t="n"/>
      <c r="E53" s="21" t="n"/>
      <c r="H53" s="18">
        <f>IFERROR(VLOOKUP(C53,Alumnos!$A:$B,2,FALSE),"")</f>
        <v/>
      </c>
    </row>
    <row r="54">
      <c r="A54" s="19" t="n"/>
      <c r="E54" s="21" t="n"/>
      <c r="H54" s="18">
        <f>IFERROR(VLOOKUP(C54,Alumnos!$A:$B,2,FALSE),"")</f>
        <v/>
      </c>
    </row>
    <row r="55">
      <c r="A55" s="19" t="n"/>
      <c r="E55" s="21" t="n"/>
      <c r="H55" s="18">
        <f>IFERROR(VLOOKUP(C55,Alumnos!$A:$B,2,FALSE),"")</f>
        <v/>
      </c>
    </row>
    <row r="56">
      <c r="A56" s="19" t="n"/>
      <c r="E56" s="21" t="n"/>
      <c r="H56" s="18">
        <f>IFERROR(VLOOKUP(C56,Alumnos!$A:$B,2,FALSE),"")</f>
        <v/>
      </c>
    </row>
    <row r="57">
      <c r="A57" s="19" t="n"/>
      <c r="E57" s="21" t="n"/>
      <c r="H57" s="18">
        <f>IFERROR(VLOOKUP(C57,Alumnos!$A:$B,2,FALSE),"")</f>
        <v/>
      </c>
    </row>
    <row r="58">
      <c r="A58" s="19" t="n"/>
      <c r="E58" s="21" t="n"/>
      <c r="H58" s="18">
        <f>IFERROR(VLOOKUP(C58,Alumnos!$A:$B,2,FALSE),"")</f>
        <v/>
      </c>
    </row>
    <row r="59">
      <c r="A59" s="19" t="n"/>
      <c r="E59" s="21" t="n"/>
      <c r="H59" s="18">
        <f>IFERROR(VLOOKUP(C59,Alumnos!$A:$B,2,FALSE),"")</f>
        <v/>
      </c>
    </row>
    <row r="60">
      <c r="A60" s="19" t="n"/>
      <c r="E60" s="21" t="n"/>
      <c r="H60" s="18">
        <f>IFERROR(VLOOKUP(C60,Alumnos!$A:$B,2,FALSE),"")</f>
        <v/>
      </c>
    </row>
    <row r="61">
      <c r="A61" s="19" t="n"/>
      <c r="E61" s="21" t="n"/>
      <c r="H61" s="18">
        <f>IFERROR(VLOOKUP(C61,Alumnos!$A:$B,2,FALSE),"")</f>
        <v/>
      </c>
    </row>
    <row r="62">
      <c r="A62" s="19" t="n"/>
      <c r="E62" s="21" t="n"/>
      <c r="H62" s="18">
        <f>IFERROR(VLOOKUP(C62,Alumnos!$A:$B,2,FALSE),"")</f>
        <v/>
      </c>
    </row>
    <row r="63">
      <c r="A63" s="19" t="n"/>
      <c r="E63" s="21" t="n"/>
      <c r="H63" s="18">
        <f>IFERROR(VLOOKUP(C63,Alumnos!$A:$B,2,FALSE),"")</f>
        <v/>
      </c>
    </row>
    <row r="64">
      <c r="A64" s="19" t="n"/>
      <c r="E64" s="21" t="n"/>
      <c r="H64" s="18">
        <f>IFERROR(VLOOKUP(C64,Alumnos!$A:$B,2,FALSE),"")</f>
        <v/>
      </c>
    </row>
    <row r="65">
      <c r="A65" s="19" t="n"/>
      <c r="E65" s="21" t="n"/>
      <c r="H65" s="18">
        <f>IFERROR(VLOOKUP(C65,Alumnos!$A:$B,2,FALSE),"")</f>
        <v/>
      </c>
    </row>
    <row r="66">
      <c r="A66" s="19" t="n"/>
      <c r="E66" s="21" t="n"/>
      <c r="H66" s="18">
        <f>IFERROR(VLOOKUP(C66,Alumnos!$A:$B,2,FALSE),"")</f>
        <v/>
      </c>
    </row>
    <row r="67">
      <c r="A67" s="19" t="n"/>
      <c r="E67" s="21" t="n"/>
      <c r="H67" s="18">
        <f>IFERROR(VLOOKUP(C67,Alumnos!$A:$B,2,FALSE),"")</f>
        <v/>
      </c>
    </row>
    <row r="68">
      <c r="A68" s="19" t="n"/>
      <c r="E68" s="21" t="n"/>
      <c r="H68" s="18">
        <f>IFERROR(VLOOKUP(C68,Alumnos!$A:$B,2,FALSE),"")</f>
        <v/>
      </c>
    </row>
    <row r="69">
      <c r="A69" s="19" t="n"/>
      <c r="E69" s="21" t="n"/>
      <c r="H69" s="18">
        <f>IFERROR(VLOOKUP(C69,Alumnos!$A:$B,2,FALSE),"")</f>
        <v/>
      </c>
    </row>
    <row r="70">
      <c r="A70" s="19" t="n"/>
      <c r="E70" s="21" t="n"/>
      <c r="H70" s="18">
        <f>IFERROR(VLOOKUP(C70,Alumnos!$A:$B,2,FALSE),"")</f>
        <v/>
      </c>
    </row>
    <row r="71">
      <c r="A71" s="19" t="n"/>
      <c r="E71" s="21" t="n"/>
      <c r="H71" s="18">
        <f>IFERROR(VLOOKUP(C71,Alumnos!$A:$B,2,FALSE),"")</f>
        <v/>
      </c>
    </row>
    <row r="72">
      <c r="A72" s="19" t="n"/>
      <c r="E72" s="21" t="n"/>
      <c r="H72" s="18">
        <f>IFERROR(VLOOKUP(C72,Alumnos!$A:$B,2,FALSE),"")</f>
        <v/>
      </c>
    </row>
    <row r="73">
      <c r="A73" s="19" t="n"/>
      <c r="E73" s="21" t="n"/>
      <c r="H73" s="18">
        <f>IFERROR(VLOOKUP(C73,Alumnos!$A:$B,2,FALSE),"")</f>
        <v/>
      </c>
    </row>
    <row r="74">
      <c r="A74" s="19" t="n"/>
      <c r="E74" s="21" t="n"/>
      <c r="H74" s="18">
        <f>IFERROR(VLOOKUP(C74,Alumnos!$A:$B,2,FALSE),"")</f>
        <v/>
      </c>
    </row>
    <row r="75">
      <c r="A75" s="19" t="n"/>
      <c r="E75" s="21" t="n"/>
      <c r="H75" s="18">
        <f>IFERROR(VLOOKUP(C75,Alumnos!$A:$B,2,FALSE),"")</f>
        <v/>
      </c>
    </row>
    <row r="76">
      <c r="A76" s="19" t="n"/>
      <c r="E76" s="21" t="n"/>
      <c r="H76" s="18">
        <f>IFERROR(VLOOKUP(C76,Alumnos!$A:$B,2,FALSE),"")</f>
        <v/>
      </c>
    </row>
    <row r="77">
      <c r="A77" s="19" t="n"/>
      <c r="E77" s="21" t="n"/>
      <c r="H77" s="18">
        <f>IFERROR(VLOOKUP(C77,Alumnos!$A:$B,2,FALSE),"")</f>
        <v/>
      </c>
    </row>
    <row r="78">
      <c r="A78" s="19" t="n"/>
      <c r="E78" s="21" t="n"/>
      <c r="H78" s="18">
        <f>IFERROR(VLOOKUP(C78,Alumnos!$A:$B,2,FALSE),"")</f>
        <v/>
      </c>
    </row>
    <row r="79">
      <c r="A79" s="19" t="n"/>
      <c r="E79" s="21" t="n"/>
      <c r="H79" s="18">
        <f>IFERROR(VLOOKUP(C79,Alumnos!$A:$B,2,FALSE),"")</f>
        <v/>
      </c>
    </row>
    <row r="80">
      <c r="A80" s="19" t="n"/>
      <c r="E80" s="21" t="n"/>
      <c r="H80" s="18">
        <f>IFERROR(VLOOKUP(C80,Alumnos!$A:$B,2,FALSE),"")</f>
        <v/>
      </c>
    </row>
    <row r="81">
      <c r="A81" s="19" t="n"/>
      <c r="E81" s="21" t="n"/>
      <c r="H81" s="18">
        <f>IFERROR(VLOOKUP(C81,Alumnos!$A:$B,2,FALSE),"")</f>
        <v/>
      </c>
    </row>
    <row r="82">
      <c r="A82" s="19" t="n"/>
      <c r="E82" s="21" t="n"/>
      <c r="H82" s="18">
        <f>IFERROR(VLOOKUP(C82,Alumnos!$A:$B,2,FALSE),"")</f>
        <v/>
      </c>
    </row>
    <row r="83">
      <c r="A83" s="19" t="n"/>
      <c r="E83" s="21" t="n"/>
      <c r="H83" s="18">
        <f>IFERROR(VLOOKUP(C83,Alumnos!$A:$B,2,FALSE),"")</f>
        <v/>
      </c>
    </row>
    <row r="84">
      <c r="A84" s="19" t="n"/>
      <c r="E84" s="21" t="n"/>
      <c r="H84" s="18">
        <f>IFERROR(VLOOKUP(C84,Alumnos!$A:$B,2,FALSE),"")</f>
        <v/>
      </c>
    </row>
    <row r="85">
      <c r="A85" s="19" t="n"/>
      <c r="E85" s="21" t="n"/>
      <c r="H85" s="18">
        <f>IFERROR(VLOOKUP(C85,Alumnos!$A:$B,2,FALSE),"")</f>
        <v/>
      </c>
    </row>
    <row r="86">
      <c r="A86" s="19" t="n"/>
      <c r="E86" s="21" t="n"/>
      <c r="H86" s="18">
        <f>IFERROR(VLOOKUP(C86,Alumnos!$A:$B,2,FALSE),"")</f>
        <v/>
      </c>
    </row>
    <row r="87">
      <c r="A87" s="19" t="n"/>
      <c r="E87" s="21" t="n"/>
      <c r="H87" s="18">
        <f>IFERROR(VLOOKUP(C87,Alumnos!$A:$B,2,FALSE),"")</f>
        <v/>
      </c>
    </row>
    <row r="88">
      <c r="A88" s="19" t="n"/>
      <c r="E88" s="21" t="n"/>
      <c r="H88" s="18">
        <f>IFERROR(VLOOKUP(C88,Alumnos!$A:$B,2,FALSE),"")</f>
        <v/>
      </c>
    </row>
    <row r="89">
      <c r="A89" s="19" t="n"/>
      <c r="E89" s="21" t="n"/>
      <c r="H89" s="18">
        <f>IFERROR(VLOOKUP(C89,Alumnos!$A:$B,2,FALSE),"")</f>
        <v/>
      </c>
    </row>
    <row r="90">
      <c r="A90" s="19" t="n"/>
      <c r="E90" s="21" t="n"/>
      <c r="H90" s="18">
        <f>IFERROR(VLOOKUP(C90,Alumnos!$A:$B,2,FALSE),"")</f>
        <v/>
      </c>
    </row>
    <row r="91">
      <c r="A91" s="19" t="n"/>
      <c r="E91" s="21" t="n"/>
      <c r="H91" s="18">
        <f>IFERROR(VLOOKUP(C91,Alumnos!$A:$B,2,FALSE),"")</f>
        <v/>
      </c>
    </row>
    <row r="92">
      <c r="A92" s="19" t="n"/>
      <c r="E92" s="21" t="n"/>
      <c r="H92" s="18">
        <f>IFERROR(VLOOKUP(C92,Alumnos!$A:$B,2,FALSE),"")</f>
        <v/>
      </c>
    </row>
    <row r="93">
      <c r="A93" s="19" t="n"/>
      <c r="E93" s="21" t="n"/>
      <c r="H93" s="18">
        <f>IFERROR(VLOOKUP(C93,Alumnos!$A:$B,2,FALSE),"")</f>
        <v/>
      </c>
    </row>
    <row r="94">
      <c r="A94" s="19" t="n"/>
      <c r="E94" s="21" t="n"/>
      <c r="H94" s="18">
        <f>IFERROR(VLOOKUP(C94,Alumnos!$A:$B,2,FALSE),"")</f>
        <v/>
      </c>
    </row>
    <row r="95">
      <c r="A95" s="19" t="n"/>
      <c r="E95" s="21" t="n"/>
      <c r="H95" s="18">
        <f>IFERROR(VLOOKUP(C95,Alumnos!$A:$B,2,FALSE),"")</f>
        <v/>
      </c>
    </row>
    <row r="96">
      <c r="A96" s="19" t="n"/>
      <c r="E96" s="21" t="n"/>
      <c r="H96" s="18">
        <f>IFERROR(VLOOKUP(C96,Alumnos!$A:$B,2,FALSE),"")</f>
        <v/>
      </c>
    </row>
    <row r="97">
      <c r="A97" s="19" t="n"/>
      <c r="E97" s="21" t="n"/>
      <c r="H97" s="18">
        <f>IFERROR(VLOOKUP(C97,Alumnos!$A:$B,2,FALSE),"")</f>
        <v/>
      </c>
    </row>
    <row r="98">
      <c r="A98" s="19" t="n"/>
      <c r="E98" s="21" t="n"/>
      <c r="H98" s="18">
        <f>IFERROR(VLOOKUP(C98,Alumnos!$A:$B,2,FALSE),"")</f>
        <v/>
      </c>
    </row>
    <row r="99">
      <c r="A99" s="19" t="n"/>
      <c r="E99" s="21" t="n"/>
      <c r="H99" s="18">
        <f>IFERROR(VLOOKUP(C99,Alumnos!$A:$B,2,FALSE),"")</f>
        <v/>
      </c>
    </row>
    <row r="100">
      <c r="A100" s="19" t="n"/>
      <c r="E100" s="21" t="n"/>
      <c r="H100" s="18">
        <f>IFERROR(VLOOKUP(C100,Alumnos!$A:$B,2,FALSE),"")</f>
        <v/>
      </c>
    </row>
    <row r="101">
      <c r="A101" s="19" t="n"/>
      <c r="E101" s="21" t="n"/>
      <c r="H101" s="18">
        <f>IFERROR(VLOOKUP(C101,Alumnos!$A:$B,2,FALSE),"")</f>
        <v/>
      </c>
    </row>
    <row r="102">
      <c r="A102" s="19" t="n"/>
      <c r="E102" s="21" t="n"/>
      <c r="H102" s="18">
        <f>IFERROR(VLOOKUP(C102,Alumnos!$A:$B,2,FALSE),"")</f>
        <v/>
      </c>
    </row>
    <row r="103">
      <c r="A103" s="19" t="n"/>
      <c r="E103" s="21" t="n"/>
      <c r="H103" s="18">
        <f>IFERROR(VLOOKUP(C103,Alumnos!$A:$B,2,FALSE),"")</f>
        <v/>
      </c>
    </row>
    <row r="104">
      <c r="A104" s="19" t="n"/>
      <c r="E104" s="21" t="n"/>
      <c r="H104" s="18">
        <f>IFERROR(VLOOKUP(C104,Alumnos!$A:$B,2,FALSE),"")</f>
        <v/>
      </c>
    </row>
    <row r="105">
      <c r="A105" s="19" t="n"/>
      <c r="E105" s="21" t="n"/>
      <c r="H105" s="18">
        <f>IFERROR(VLOOKUP(C105,Alumnos!$A:$B,2,FALSE),"")</f>
        <v/>
      </c>
    </row>
    <row r="106">
      <c r="A106" s="19" t="n"/>
      <c r="E106" s="21" t="n"/>
      <c r="H106" s="18">
        <f>IFERROR(VLOOKUP(C106,Alumnos!$A:$B,2,FALSE),"")</f>
        <v/>
      </c>
    </row>
    <row r="107">
      <c r="A107" s="19" t="n"/>
      <c r="E107" s="21" t="n"/>
      <c r="H107" s="18">
        <f>IFERROR(VLOOKUP(C107,Alumnos!$A:$B,2,FALSE),"")</f>
        <v/>
      </c>
    </row>
    <row r="108">
      <c r="A108" s="19" t="n"/>
      <c r="E108" s="21" t="n"/>
      <c r="H108" s="18">
        <f>IFERROR(VLOOKUP(C108,Alumnos!$A:$B,2,FALSE),"")</f>
        <v/>
      </c>
    </row>
    <row r="109">
      <c r="A109" s="19" t="n"/>
      <c r="E109" s="21" t="n"/>
      <c r="H109" s="18">
        <f>IFERROR(VLOOKUP(C109,Alumnos!$A:$B,2,FALSE),"")</f>
        <v/>
      </c>
    </row>
    <row r="110">
      <c r="A110" s="19" t="n"/>
      <c r="E110" s="21" t="n"/>
      <c r="H110" s="18">
        <f>IFERROR(VLOOKUP(C110,Alumnos!$A:$B,2,FALSE),"")</f>
        <v/>
      </c>
    </row>
    <row r="111">
      <c r="A111" s="19" t="n"/>
      <c r="E111" s="21" t="n"/>
      <c r="H111" s="18">
        <f>IFERROR(VLOOKUP(C111,Alumnos!$A:$B,2,FALSE),"")</f>
        <v/>
      </c>
    </row>
    <row r="112">
      <c r="A112" s="19" t="n"/>
      <c r="E112" s="21" t="n"/>
      <c r="H112" s="18">
        <f>IFERROR(VLOOKUP(C112,Alumnos!$A:$B,2,FALSE),"")</f>
        <v/>
      </c>
    </row>
    <row r="113">
      <c r="A113" s="19" t="n"/>
      <c r="E113" s="21" t="n"/>
      <c r="H113" s="18">
        <f>IFERROR(VLOOKUP(C113,Alumnos!$A:$B,2,FALSE),"")</f>
        <v/>
      </c>
    </row>
    <row r="114">
      <c r="A114" s="19" t="n"/>
      <c r="E114" s="21" t="n"/>
      <c r="H114" s="18">
        <f>IFERROR(VLOOKUP(C114,Alumnos!$A:$B,2,FALSE),"")</f>
        <v/>
      </c>
    </row>
    <row r="115">
      <c r="A115" s="19" t="n"/>
      <c r="E115" s="21" t="n"/>
      <c r="H115" s="18">
        <f>IFERROR(VLOOKUP(C115,Alumnos!$A:$B,2,FALSE),"")</f>
        <v/>
      </c>
    </row>
    <row r="116">
      <c r="A116" s="19" t="n"/>
      <c r="E116" s="21" t="n"/>
      <c r="H116" s="18">
        <f>IFERROR(VLOOKUP(C116,Alumnos!$A:$B,2,FALSE),"")</f>
        <v/>
      </c>
    </row>
    <row r="117">
      <c r="A117" s="19" t="n"/>
      <c r="E117" s="21" t="n"/>
      <c r="H117" s="18">
        <f>IFERROR(VLOOKUP(C117,Alumnos!$A:$B,2,FALSE),"")</f>
        <v/>
      </c>
    </row>
    <row r="118">
      <c r="A118" s="19" t="n"/>
      <c r="E118" s="21" t="n"/>
      <c r="H118" s="18">
        <f>IFERROR(VLOOKUP(C118,Alumnos!$A:$B,2,FALSE),"")</f>
        <v/>
      </c>
    </row>
    <row r="119">
      <c r="A119" s="19" t="n"/>
      <c r="E119" s="21" t="n"/>
      <c r="H119" s="18">
        <f>IFERROR(VLOOKUP(C119,Alumnos!$A:$B,2,FALSE),"")</f>
        <v/>
      </c>
    </row>
    <row r="120">
      <c r="A120" s="19" t="n"/>
      <c r="E120" s="21" t="n"/>
      <c r="H120" s="18">
        <f>IFERROR(VLOOKUP(C120,Alumnos!$A:$B,2,FALSE),"")</f>
        <v/>
      </c>
    </row>
    <row r="121">
      <c r="A121" s="19" t="n"/>
      <c r="E121" s="21" t="n"/>
      <c r="H121" s="18">
        <f>IFERROR(VLOOKUP(C121,Alumnos!$A:$B,2,FALSE),"")</f>
        <v/>
      </c>
    </row>
    <row r="122">
      <c r="A122" s="19" t="n"/>
      <c r="E122" s="21" t="n"/>
      <c r="H122" s="18">
        <f>IFERROR(VLOOKUP(C122,Alumnos!$A:$B,2,FALSE),"")</f>
        <v/>
      </c>
    </row>
    <row r="123">
      <c r="A123" s="19" t="n"/>
      <c r="E123" s="21" t="n"/>
      <c r="H123" s="18">
        <f>IFERROR(VLOOKUP(C123,Alumnos!$A:$B,2,FALSE),"")</f>
        <v/>
      </c>
    </row>
    <row r="124">
      <c r="A124" s="19" t="n"/>
      <c r="E124" s="21" t="n"/>
      <c r="H124" s="18">
        <f>IFERROR(VLOOKUP(C124,Alumnos!$A:$B,2,FALSE),"")</f>
        <v/>
      </c>
    </row>
    <row r="125">
      <c r="A125" s="19" t="n"/>
      <c r="E125" s="21" t="n"/>
      <c r="H125" s="18">
        <f>IFERROR(VLOOKUP(C125,Alumnos!$A:$B,2,FALSE),"")</f>
        <v/>
      </c>
    </row>
    <row r="126">
      <c r="A126" s="19" t="n"/>
      <c r="E126" s="21" t="n"/>
      <c r="H126" s="18">
        <f>IFERROR(VLOOKUP(C126,Alumnos!$A:$B,2,FALSE),"")</f>
        <v/>
      </c>
    </row>
    <row r="127">
      <c r="A127" s="19" t="n"/>
      <c r="E127" s="21" t="n"/>
      <c r="H127" s="18">
        <f>IFERROR(VLOOKUP(C127,Alumnos!$A:$B,2,FALSE),"")</f>
        <v/>
      </c>
    </row>
    <row r="128">
      <c r="A128" s="19" t="n"/>
      <c r="E128" s="21" t="n"/>
      <c r="H128" s="18">
        <f>IFERROR(VLOOKUP(C128,Alumnos!$A:$B,2,FALSE),"")</f>
        <v/>
      </c>
    </row>
    <row r="129">
      <c r="A129" s="19" t="n"/>
      <c r="E129" s="21" t="n"/>
      <c r="H129" s="18">
        <f>IFERROR(VLOOKUP(C129,Alumnos!$A:$B,2,FALSE),"")</f>
        <v/>
      </c>
    </row>
    <row r="130">
      <c r="A130" s="19" t="n"/>
      <c r="E130" s="21" t="n"/>
      <c r="H130" s="18">
        <f>IFERROR(VLOOKUP(C130,Alumnos!$A:$B,2,FALSE),"")</f>
        <v/>
      </c>
    </row>
    <row r="131">
      <c r="A131" s="19" t="n"/>
      <c r="E131" s="21" t="n"/>
      <c r="H131" s="18">
        <f>IFERROR(VLOOKUP(C131,Alumnos!$A:$B,2,FALSE),"")</f>
        <v/>
      </c>
    </row>
    <row r="132">
      <c r="A132" s="19" t="n"/>
      <c r="E132" s="21" t="n"/>
      <c r="H132" s="18">
        <f>IFERROR(VLOOKUP(C132,Alumnos!$A:$B,2,FALSE),"")</f>
        <v/>
      </c>
    </row>
    <row r="133">
      <c r="A133" s="19" t="n"/>
      <c r="E133" s="21" t="n"/>
      <c r="H133" s="18">
        <f>IFERROR(VLOOKUP(C133,Alumnos!$A:$B,2,FALSE),"")</f>
        <v/>
      </c>
    </row>
    <row r="134">
      <c r="A134" s="19" t="n"/>
      <c r="E134" s="21" t="n"/>
      <c r="H134" s="18">
        <f>IFERROR(VLOOKUP(C134,Alumnos!$A:$B,2,FALSE),"")</f>
        <v/>
      </c>
    </row>
    <row r="135">
      <c r="A135" s="19" t="n"/>
      <c r="E135" s="21" t="n"/>
      <c r="H135" s="18">
        <f>IFERROR(VLOOKUP(C135,Alumnos!$A:$B,2,FALSE),"")</f>
        <v/>
      </c>
    </row>
    <row r="136">
      <c r="A136" s="19" t="n"/>
      <c r="E136" s="21" t="n"/>
      <c r="H136" s="18">
        <f>IFERROR(VLOOKUP(C136,Alumnos!$A:$B,2,FALSE),"")</f>
        <v/>
      </c>
    </row>
    <row r="137">
      <c r="A137" s="19" t="n"/>
      <c r="E137" s="21" t="n"/>
      <c r="H137" s="18">
        <f>IFERROR(VLOOKUP(C137,Alumnos!$A:$B,2,FALSE),"")</f>
        <v/>
      </c>
    </row>
    <row r="138">
      <c r="A138" s="19" t="n"/>
      <c r="E138" s="21" t="n"/>
      <c r="H138" s="18">
        <f>IFERROR(VLOOKUP(C138,Alumnos!$A:$B,2,FALSE),"")</f>
        <v/>
      </c>
    </row>
    <row r="139">
      <c r="A139" s="19" t="n"/>
      <c r="E139" s="21" t="n"/>
      <c r="H139" s="18">
        <f>IFERROR(VLOOKUP(C139,Alumnos!$A:$B,2,FALSE),"")</f>
        <v/>
      </c>
    </row>
    <row r="140">
      <c r="A140" s="19" t="n"/>
      <c r="E140" s="21" t="n"/>
      <c r="H140" s="18">
        <f>IFERROR(VLOOKUP(C140,Alumnos!$A:$B,2,FALSE),"")</f>
        <v/>
      </c>
    </row>
    <row r="141">
      <c r="A141" s="19" t="n"/>
      <c r="E141" s="21" t="n"/>
      <c r="H141" s="18">
        <f>IFERROR(VLOOKUP(C141,Alumnos!$A:$B,2,FALSE),"")</f>
        <v/>
      </c>
    </row>
    <row r="142">
      <c r="A142" s="19" t="n"/>
      <c r="E142" s="21" t="n"/>
      <c r="H142" s="18">
        <f>IFERROR(VLOOKUP(C142,Alumnos!$A:$B,2,FALSE),"")</f>
        <v/>
      </c>
    </row>
    <row r="143">
      <c r="A143" s="19" t="n"/>
      <c r="E143" s="21" t="n"/>
      <c r="H143" s="18">
        <f>IFERROR(VLOOKUP(C143,Alumnos!$A:$B,2,FALSE),"")</f>
        <v/>
      </c>
    </row>
    <row r="144">
      <c r="A144" s="19" t="n"/>
      <c r="E144" s="21" t="n"/>
      <c r="H144" s="18">
        <f>IFERROR(VLOOKUP(C144,Alumnos!$A:$B,2,FALSE),"")</f>
        <v/>
      </c>
    </row>
    <row r="145">
      <c r="A145" s="19" t="n"/>
      <c r="E145" s="21" t="n"/>
      <c r="H145" s="18">
        <f>IFERROR(VLOOKUP(C145,Alumnos!$A:$B,2,FALSE),"")</f>
        <v/>
      </c>
    </row>
    <row r="146">
      <c r="A146" s="19" t="n"/>
      <c r="E146" s="21" t="n"/>
      <c r="H146" s="18">
        <f>IFERROR(VLOOKUP(C146,Alumnos!$A:$B,2,FALSE),"")</f>
        <v/>
      </c>
    </row>
    <row r="147">
      <c r="A147" s="19" t="n"/>
      <c r="E147" s="21" t="n"/>
      <c r="H147" s="18">
        <f>IFERROR(VLOOKUP(C147,Alumnos!$A:$B,2,FALSE),"")</f>
        <v/>
      </c>
    </row>
    <row r="148">
      <c r="A148" s="19" t="n"/>
      <c r="E148" s="21" t="n"/>
      <c r="H148" s="18">
        <f>IFERROR(VLOOKUP(C148,Alumnos!$A:$B,2,FALSE),"")</f>
        <v/>
      </c>
    </row>
    <row r="149">
      <c r="A149" s="19" t="n"/>
      <c r="E149" s="21" t="n"/>
      <c r="H149" s="18">
        <f>IFERROR(VLOOKUP(C149,Alumnos!$A:$B,2,FALSE),"")</f>
        <v/>
      </c>
    </row>
    <row r="150">
      <c r="A150" s="19" t="n"/>
      <c r="E150" s="21" t="n"/>
      <c r="H150" s="18">
        <f>IFERROR(VLOOKUP(C150,Alumnos!$A:$B,2,FALSE),"")</f>
        <v/>
      </c>
    </row>
    <row r="151">
      <c r="A151" s="19" t="n"/>
      <c r="E151" s="21" t="n"/>
      <c r="H151" s="18">
        <f>IFERROR(VLOOKUP(C151,Alumnos!$A:$B,2,FALSE),"")</f>
        <v/>
      </c>
    </row>
    <row r="152">
      <c r="A152" s="19" t="n"/>
      <c r="E152" s="21" t="n"/>
      <c r="H152" s="18">
        <f>IFERROR(VLOOKUP(C152,Alumnos!$A:$B,2,FALSE),"")</f>
        <v/>
      </c>
    </row>
    <row r="153">
      <c r="A153" s="19" t="n"/>
      <c r="E153" s="21" t="n"/>
      <c r="H153" s="18">
        <f>IFERROR(VLOOKUP(C153,Alumnos!$A:$B,2,FALSE),"")</f>
        <v/>
      </c>
    </row>
    <row r="154">
      <c r="A154" s="19" t="n"/>
      <c r="E154" s="21" t="n"/>
      <c r="H154" s="18">
        <f>IFERROR(VLOOKUP(C154,Alumnos!$A:$B,2,FALSE),"")</f>
        <v/>
      </c>
    </row>
    <row r="155">
      <c r="A155" s="19" t="n"/>
      <c r="E155" s="21" t="n"/>
      <c r="H155" s="18">
        <f>IFERROR(VLOOKUP(C155,Alumnos!$A:$B,2,FALSE),"")</f>
        <v/>
      </c>
    </row>
    <row r="156">
      <c r="A156" s="19" t="n"/>
      <c r="E156" s="21" t="n"/>
      <c r="H156" s="18">
        <f>IFERROR(VLOOKUP(C156,Alumnos!$A:$B,2,FALSE),"")</f>
        <v/>
      </c>
    </row>
    <row r="157">
      <c r="A157" s="19" t="n"/>
      <c r="E157" s="21" t="n"/>
      <c r="H157" s="18">
        <f>IFERROR(VLOOKUP(C157,Alumnos!$A:$B,2,FALSE),"")</f>
        <v/>
      </c>
    </row>
    <row r="158">
      <c r="A158" s="19" t="n"/>
      <c r="E158" s="21" t="n"/>
      <c r="H158" s="18">
        <f>IFERROR(VLOOKUP(C158,Alumnos!$A:$B,2,FALSE),"")</f>
        <v/>
      </c>
    </row>
    <row r="159">
      <c r="A159" s="19" t="n"/>
      <c r="E159" s="21" t="n"/>
      <c r="H159" s="18">
        <f>IFERROR(VLOOKUP(C159,Alumnos!$A:$B,2,FALSE),"")</f>
        <v/>
      </c>
    </row>
    <row r="160">
      <c r="A160" s="19" t="n"/>
      <c r="E160" s="21" t="n"/>
      <c r="H160" s="18">
        <f>IFERROR(VLOOKUP(C160,Alumnos!$A:$B,2,FALSE),"")</f>
        <v/>
      </c>
    </row>
    <row r="161">
      <c r="A161" s="19" t="n"/>
      <c r="E161" s="21" t="n"/>
      <c r="H161" s="18">
        <f>IFERROR(VLOOKUP(C161,Alumnos!$A:$B,2,FALSE),"")</f>
        <v/>
      </c>
    </row>
    <row r="162">
      <c r="A162" s="19" t="n"/>
      <c r="E162" s="21" t="n"/>
      <c r="H162" s="18">
        <f>IFERROR(VLOOKUP(C162,Alumnos!$A:$B,2,FALSE),"")</f>
        <v/>
      </c>
    </row>
    <row r="163">
      <c r="A163" s="19" t="n"/>
      <c r="E163" s="21" t="n"/>
      <c r="H163" s="18">
        <f>IFERROR(VLOOKUP(C163,Alumnos!$A:$B,2,FALSE),"")</f>
        <v/>
      </c>
    </row>
    <row r="164">
      <c r="A164" s="19" t="n"/>
      <c r="E164" s="21" t="n"/>
      <c r="H164" s="18">
        <f>IFERROR(VLOOKUP(C164,Alumnos!$A:$B,2,FALSE),"")</f>
        <v/>
      </c>
    </row>
    <row r="165">
      <c r="A165" s="19" t="n"/>
      <c r="E165" s="21" t="n"/>
      <c r="H165" s="18">
        <f>IFERROR(VLOOKUP(C165,Alumnos!$A:$B,2,FALSE),"")</f>
        <v/>
      </c>
    </row>
    <row r="166">
      <c r="A166" s="19" t="n"/>
      <c r="E166" s="21" t="n"/>
      <c r="H166" s="18">
        <f>IFERROR(VLOOKUP(C166,Alumnos!$A:$B,2,FALSE),"")</f>
        <v/>
      </c>
    </row>
    <row r="167">
      <c r="A167" s="19" t="n"/>
      <c r="E167" s="21" t="n"/>
      <c r="H167" s="18">
        <f>IFERROR(VLOOKUP(C167,Alumnos!$A:$B,2,FALSE),"")</f>
        <v/>
      </c>
    </row>
    <row r="168">
      <c r="A168" s="19" t="n"/>
      <c r="E168" s="21" t="n"/>
      <c r="H168" s="18">
        <f>IFERROR(VLOOKUP(C168,Alumnos!$A:$B,2,FALSE),"")</f>
        <v/>
      </c>
    </row>
    <row r="169">
      <c r="A169" s="19" t="n"/>
      <c r="E169" s="21" t="n"/>
      <c r="H169" s="18">
        <f>IFERROR(VLOOKUP(C169,Alumnos!$A:$B,2,FALSE),"")</f>
        <v/>
      </c>
    </row>
    <row r="170">
      <c r="A170" s="19" t="n"/>
      <c r="E170" s="21" t="n"/>
      <c r="H170" s="18">
        <f>IFERROR(VLOOKUP(C170,Alumnos!$A:$B,2,FALSE),"")</f>
        <v/>
      </c>
    </row>
    <row r="171">
      <c r="A171" s="19" t="n"/>
      <c r="E171" s="21" t="n"/>
      <c r="H171" s="18">
        <f>IFERROR(VLOOKUP(C171,Alumnos!$A:$B,2,FALSE),"")</f>
        <v/>
      </c>
    </row>
    <row r="172">
      <c r="A172" s="19" t="n"/>
      <c r="E172" s="21" t="n"/>
      <c r="H172" s="18">
        <f>IFERROR(VLOOKUP(C172,Alumnos!$A:$B,2,FALSE),"")</f>
        <v/>
      </c>
    </row>
    <row r="173">
      <c r="A173" s="19" t="n"/>
      <c r="E173" s="21" t="n"/>
      <c r="H173" s="18">
        <f>IFERROR(VLOOKUP(C173,Alumnos!$A:$B,2,FALSE),"")</f>
        <v/>
      </c>
    </row>
    <row r="174">
      <c r="A174" s="19" t="n"/>
      <c r="E174" s="21" t="n"/>
      <c r="H174" s="18">
        <f>IFERROR(VLOOKUP(C174,Alumnos!$A:$B,2,FALSE),"")</f>
        <v/>
      </c>
    </row>
    <row r="175">
      <c r="A175" s="19" t="n"/>
      <c r="E175" s="21" t="n"/>
      <c r="H175" s="18">
        <f>IFERROR(VLOOKUP(C175,Alumnos!$A:$B,2,FALSE),"")</f>
        <v/>
      </c>
    </row>
    <row r="176">
      <c r="A176" s="19" t="n"/>
      <c r="E176" s="21" t="n"/>
      <c r="H176" s="18">
        <f>IFERROR(VLOOKUP(C176,Alumnos!$A:$B,2,FALSE),"")</f>
        <v/>
      </c>
    </row>
    <row r="177">
      <c r="A177" s="19" t="n"/>
      <c r="E177" s="21" t="n"/>
      <c r="H177" s="18">
        <f>IFERROR(VLOOKUP(C177,Alumnos!$A:$B,2,FALSE),"")</f>
        <v/>
      </c>
    </row>
    <row r="178">
      <c r="A178" s="19" t="n"/>
      <c r="E178" s="21" t="n"/>
      <c r="H178" s="18">
        <f>IFERROR(VLOOKUP(C178,Alumnos!$A:$B,2,FALSE),"")</f>
        <v/>
      </c>
    </row>
    <row r="179">
      <c r="A179" s="19" t="n"/>
      <c r="E179" s="21" t="n"/>
      <c r="H179" s="18">
        <f>IFERROR(VLOOKUP(C179,Alumnos!$A:$B,2,FALSE),"")</f>
        <v/>
      </c>
    </row>
    <row r="180">
      <c r="A180" s="19" t="n"/>
      <c r="E180" s="21" t="n"/>
      <c r="H180" s="18">
        <f>IFERROR(VLOOKUP(C180,Alumnos!$A:$B,2,FALSE),"")</f>
        <v/>
      </c>
    </row>
    <row r="181">
      <c r="A181" s="19" t="n"/>
      <c r="E181" s="21" t="n"/>
      <c r="H181" s="18">
        <f>IFERROR(VLOOKUP(C181,Alumnos!$A:$B,2,FALSE),"")</f>
        <v/>
      </c>
    </row>
    <row r="182">
      <c r="A182" s="19" t="n"/>
      <c r="E182" s="21" t="n"/>
      <c r="H182" s="18">
        <f>IFERROR(VLOOKUP(C182,Alumnos!$A:$B,2,FALSE),"")</f>
        <v/>
      </c>
    </row>
    <row r="183">
      <c r="A183" s="19" t="n"/>
      <c r="E183" s="21" t="n"/>
      <c r="H183" s="18">
        <f>IFERROR(VLOOKUP(C183,Alumnos!$A:$B,2,FALSE),"")</f>
        <v/>
      </c>
    </row>
    <row r="184">
      <c r="A184" s="19" t="n"/>
      <c r="E184" s="21" t="n"/>
      <c r="H184" s="18">
        <f>IFERROR(VLOOKUP(C184,Alumnos!$A:$B,2,FALSE),"")</f>
        <v/>
      </c>
    </row>
    <row r="185">
      <c r="A185" s="19" t="n"/>
      <c r="E185" s="21" t="n"/>
      <c r="H185" s="18">
        <f>IFERROR(VLOOKUP(C185,Alumnos!$A:$B,2,FALSE),"")</f>
        <v/>
      </c>
    </row>
    <row r="186">
      <c r="A186" s="19" t="n"/>
      <c r="E186" s="21" t="n"/>
      <c r="H186" s="18">
        <f>IFERROR(VLOOKUP(C186,Alumnos!$A:$B,2,FALSE),"")</f>
        <v/>
      </c>
    </row>
    <row r="187">
      <c r="A187" s="19" t="n"/>
      <c r="E187" s="21" t="n"/>
      <c r="H187" s="18">
        <f>IFERROR(VLOOKUP(C187,Alumnos!$A:$B,2,FALSE),"")</f>
        <v/>
      </c>
    </row>
    <row r="188">
      <c r="A188" s="19" t="n"/>
      <c r="E188" s="21" t="n"/>
      <c r="H188" s="18">
        <f>IFERROR(VLOOKUP(C188,Alumnos!$A:$B,2,FALSE),"")</f>
        <v/>
      </c>
    </row>
    <row r="189">
      <c r="A189" s="19" t="n"/>
      <c r="E189" s="21" t="n"/>
      <c r="H189" s="18">
        <f>IFERROR(VLOOKUP(C189,Alumnos!$A:$B,2,FALSE),"")</f>
        <v/>
      </c>
    </row>
    <row r="190">
      <c r="A190" s="19" t="n"/>
      <c r="E190" s="21" t="n"/>
      <c r="H190" s="18">
        <f>IFERROR(VLOOKUP(C190,Alumnos!$A:$B,2,FALSE),"")</f>
        <v/>
      </c>
    </row>
    <row r="191">
      <c r="A191" s="19" t="n"/>
      <c r="E191" s="21" t="n"/>
      <c r="H191" s="18">
        <f>IFERROR(VLOOKUP(C191,Alumnos!$A:$B,2,FALSE),"")</f>
        <v/>
      </c>
    </row>
    <row r="192">
      <c r="A192" s="19" t="n"/>
      <c r="E192" s="21" t="n"/>
      <c r="H192" s="18">
        <f>IFERROR(VLOOKUP(C192,Alumnos!$A:$B,2,FALSE),"")</f>
        <v/>
      </c>
    </row>
    <row r="193">
      <c r="A193" s="19" t="n"/>
      <c r="E193" s="21" t="n"/>
      <c r="H193" s="18">
        <f>IFERROR(VLOOKUP(C193,Alumnos!$A:$B,2,FALSE),"")</f>
        <v/>
      </c>
    </row>
    <row r="194">
      <c r="A194" s="19" t="n"/>
      <c r="E194" s="21" t="n"/>
      <c r="H194" s="18">
        <f>IFERROR(VLOOKUP(C194,Alumnos!$A:$B,2,FALSE),"")</f>
        <v/>
      </c>
    </row>
    <row r="195">
      <c r="A195" s="19" t="n"/>
      <c r="E195" s="21" t="n"/>
      <c r="H195" s="18">
        <f>IFERROR(VLOOKUP(C195,Alumnos!$A:$B,2,FALSE),"")</f>
        <v/>
      </c>
    </row>
    <row r="196">
      <c r="A196" s="19" t="n"/>
      <c r="E196" s="21" t="n"/>
      <c r="H196" s="18">
        <f>IFERROR(VLOOKUP(C196,Alumnos!$A:$B,2,FALSE),"")</f>
        <v/>
      </c>
    </row>
    <row r="197">
      <c r="A197" s="19" t="n"/>
      <c r="E197" s="21" t="n"/>
      <c r="H197" s="18">
        <f>IFERROR(VLOOKUP(C197,Alumnos!$A:$B,2,FALSE),"")</f>
        <v/>
      </c>
    </row>
    <row r="198">
      <c r="A198" s="19" t="n"/>
      <c r="E198" s="21" t="n"/>
      <c r="H198" s="18">
        <f>IFERROR(VLOOKUP(C198,Alumnos!$A:$B,2,FALSE),"")</f>
        <v/>
      </c>
    </row>
    <row r="199">
      <c r="A199" s="19" t="n"/>
      <c r="E199" s="21" t="n"/>
      <c r="H199" s="18">
        <f>IFERROR(VLOOKUP(C199,Alumnos!$A:$B,2,FALSE),"")</f>
        <v/>
      </c>
    </row>
    <row r="200">
      <c r="A200" s="19" t="n"/>
      <c r="E200" s="21" t="n"/>
      <c r="H200" s="18">
        <f>IFERROR(VLOOKUP(C200,Alumnos!$A:$B,2,FALSE),"")</f>
        <v/>
      </c>
    </row>
    <row r="201">
      <c r="A201" s="19" t="n"/>
      <c r="E201" s="21" t="n"/>
      <c r="H201" s="18">
        <f>IFERROR(VLOOKUP(C201,Alumnos!$A:$B,2,FALSE),"")</f>
        <v/>
      </c>
    </row>
    <row r="202">
      <c r="A202" s="19" t="n"/>
      <c r="E202" s="21" t="n"/>
      <c r="H202" s="18">
        <f>IFERROR(VLOOKUP(C202,Alumnos!$A:$B,2,FALSE),"")</f>
        <v/>
      </c>
    </row>
    <row r="203">
      <c r="A203" s="19" t="n"/>
      <c r="E203" s="21" t="n"/>
      <c r="H203" s="18">
        <f>IFERROR(VLOOKUP(C203,Alumnos!$A:$B,2,FALSE),"")</f>
        <v/>
      </c>
    </row>
    <row r="204">
      <c r="A204" s="19" t="n"/>
      <c r="E204" s="21" t="n"/>
      <c r="H204" s="18">
        <f>IFERROR(VLOOKUP(C204,Alumnos!$A:$B,2,FALSE),"")</f>
        <v/>
      </c>
    </row>
    <row r="205">
      <c r="A205" s="19" t="n"/>
      <c r="E205" s="21" t="n"/>
      <c r="H205" s="18">
        <f>IFERROR(VLOOKUP(C205,Alumnos!$A:$B,2,FALSE),"")</f>
        <v/>
      </c>
    </row>
    <row r="206">
      <c r="A206" s="19" t="n"/>
      <c r="E206" s="21" t="n"/>
      <c r="H206" s="18">
        <f>IFERROR(VLOOKUP(C206,Alumnos!$A:$B,2,FALSE),"")</f>
        <v/>
      </c>
    </row>
    <row r="207">
      <c r="A207" s="19" t="n"/>
      <c r="E207" s="21" t="n"/>
      <c r="H207" s="18">
        <f>IFERROR(VLOOKUP(C207,Alumnos!$A:$B,2,FALSE),"")</f>
        <v/>
      </c>
    </row>
    <row r="208">
      <c r="A208" s="19" t="n"/>
      <c r="E208" s="21" t="n"/>
      <c r="H208" s="18">
        <f>IFERROR(VLOOKUP(C208,Alumnos!$A:$B,2,FALSE),"")</f>
        <v/>
      </c>
    </row>
    <row r="209">
      <c r="A209" s="19" t="n"/>
      <c r="E209" s="21" t="n"/>
      <c r="H209" s="18">
        <f>IFERROR(VLOOKUP(C209,Alumnos!$A:$B,2,FALSE),"")</f>
        <v/>
      </c>
    </row>
    <row r="210">
      <c r="A210" s="19" t="n"/>
      <c r="E210" s="21" t="n"/>
      <c r="H210" s="18">
        <f>IFERROR(VLOOKUP(C210,Alumnos!$A:$B,2,FALSE),"")</f>
        <v/>
      </c>
    </row>
    <row r="211">
      <c r="A211" s="19" t="n"/>
      <c r="E211" s="21" t="n"/>
      <c r="H211" s="18">
        <f>IFERROR(VLOOKUP(C211,Alumnos!$A:$B,2,FALSE),"")</f>
        <v/>
      </c>
    </row>
    <row r="212">
      <c r="A212" s="19" t="n"/>
      <c r="E212" s="21" t="n"/>
      <c r="H212" s="18">
        <f>IFERROR(VLOOKUP(C212,Alumnos!$A:$B,2,FALSE),"")</f>
        <v/>
      </c>
    </row>
    <row r="213">
      <c r="A213" s="19" t="n"/>
      <c r="E213" s="21" t="n"/>
      <c r="H213" s="18">
        <f>IFERROR(VLOOKUP(C213,Alumnos!$A:$B,2,FALSE),"")</f>
        <v/>
      </c>
    </row>
    <row r="214">
      <c r="A214" s="19" t="n"/>
      <c r="E214" s="21" t="n"/>
      <c r="H214" s="18">
        <f>IFERROR(VLOOKUP(C214,Alumnos!$A:$B,2,FALSE),"")</f>
        <v/>
      </c>
    </row>
    <row r="215">
      <c r="A215" s="19" t="n"/>
      <c r="E215" s="21" t="n"/>
      <c r="H215" s="18">
        <f>IFERROR(VLOOKUP(C215,Alumnos!$A:$B,2,FALSE),"")</f>
        <v/>
      </c>
    </row>
    <row r="216">
      <c r="A216" s="19" t="n"/>
      <c r="E216" s="21" t="n"/>
      <c r="H216" s="18">
        <f>IFERROR(VLOOKUP(C216,Alumnos!$A:$B,2,FALSE),"")</f>
        <v/>
      </c>
    </row>
    <row r="217">
      <c r="A217" s="19" t="n"/>
      <c r="E217" s="21" t="n"/>
      <c r="H217" s="18">
        <f>IFERROR(VLOOKUP(C217,Alumnos!$A:$B,2,FALSE),"")</f>
        <v/>
      </c>
    </row>
    <row r="218">
      <c r="A218" s="19" t="n"/>
      <c r="E218" s="21" t="n"/>
      <c r="H218" s="18">
        <f>IFERROR(VLOOKUP(C218,Alumnos!$A:$B,2,FALSE),"")</f>
        <v/>
      </c>
    </row>
    <row r="219">
      <c r="A219" s="19" t="n"/>
      <c r="E219" s="21" t="n"/>
      <c r="H219" s="18">
        <f>IFERROR(VLOOKUP(C219,Alumnos!$A:$B,2,FALSE),"")</f>
        <v/>
      </c>
    </row>
    <row r="220">
      <c r="A220" s="19" t="n"/>
      <c r="E220" s="21" t="n"/>
      <c r="H220" s="18">
        <f>IFERROR(VLOOKUP(C220,Alumnos!$A:$B,2,FALSE),"")</f>
        <v/>
      </c>
    </row>
    <row r="221">
      <c r="A221" s="19" t="n"/>
      <c r="E221" s="21" t="n"/>
      <c r="H221" s="18">
        <f>IFERROR(VLOOKUP(C221,Alumnos!$A:$B,2,FALSE),"")</f>
        <v/>
      </c>
    </row>
    <row r="222">
      <c r="A222" s="19" t="n"/>
      <c r="E222" s="21" t="n"/>
      <c r="H222" s="18">
        <f>IFERROR(VLOOKUP(C222,Alumnos!$A:$B,2,FALSE),"")</f>
        <v/>
      </c>
    </row>
    <row r="223">
      <c r="A223" s="19" t="n"/>
      <c r="E223" s="21" t="n"/>
      <c r="H223" s="18">
        <f>IFERROR(VLOOKUP(C223,Alumnos!$A:$B,2,FALSE),"")</f>
        <v/>
      </c>
    </row>
    <row r="224">
      <c r="A224" s="19" t="n"/>
      <c r="E224" s="21" t="n"/>
      <c r="H224" s="18">
        <f>IFERROR(VLOOKUP(C224,Alumnos!$A:$B,2,FALSE),"")</f>
        <v/>
      </c>
    </row>
    <row r="225">
      <c r="A225" s="19" t="n"/>
      <c r="E225" s="21" t="n"/>
      <c r="H225" s="18">
        <f>IFERROR(VLOOKUP(C225,Alumnos!$A:$B,2,FALSE),"")</f>
        <v/>
      </c>
    </row>
    <row r="226">
      <c r="A226" s="19" t="n"/>
      <c r="E226" s="21" t="n"/>
      <c r="H226" s="18">
        <f>IFERROR(VLOOKUP(C226,Alumnos!$A:$B,2,FALSE),"")</f>
        <v/>
      </c>
    </row>
    <row r="227">
      <c r="A227" s="19" t="n"/>
      <c r="E227" s="21" t="n"/>
      <c r="H227" s="18">
        <f>IFERROR(VLOOKUP(C227,Alumnos!$A:$B,2,FALSE),"")</f>
        <v/>
      </c>
    </row>
    <row r="228">
      <c r="A228" s="19" t="n"/>
      <c r="E228" s="21" t="n"/>
      <c r="H228" s="18">
        <f>IFERROR(VLOOKUP(C228,Alumnos!$A:$B,2,FALSE),"")</f>
        <v/>
      </c>
    </row>
    <row r="229">
      <c r="A229" s="19" t="n"/>
      <c r="E229" s="21" t="n"/>
      <c r="H229" s="18">
        <f>IFERROR(VLOOKUP(C229,Alumnos!$A:$B,2,FALSE),"")</f>
        <v/>
      </c>
    </row>
    <row r="230">
      <c r="A230" s="19" t="n"/>
      <c r="E230" s="21" t="n"/>
      <c r="H230" s="18">
        <f>IFERROR(VLOOKUP(C230,Alumnos!$A:$B,2,FALSE),"")</f>
        <v/>
      </c>
    </row>
    <row r="231">
      <c r="A231" s="19" t="n"/>
      <c r="E231" s="21" t="n"/>
      <c r="H231" s="18">
        <f>IFERROR(VLOOKUP(C231,Alumnos!$A:$B,2,FALSE),"")</f>
        <v/>
      </c>
    </row>
    <row r="232">
      <c r="A232" s="19" t="n"/>
      <c r="E232" s="21" t="n"/>
      <c r="H232" s="18">
        <f>IFERROR(VLOOKUP(C232,Alumnos!$A:$B,2,FALSE),"")</f>
        <v/>
      </c>
    </row>
    <row r="233">
      <c r="A233" s="19" t="n"/>
      <c r="E233" s="21" t="n"/>
      <c r="H233" s="18">
        <f>IFERROR(VLOOKUP(C233,Alumnos!$A:$B,2,FALSE),"")</f>
        <v/>
      </c>
    </row>
    <row r="234">
      <c r="A234" s="19" t="n"/>
      <c r="E234" s="21" t="n"/>
      <c r="H234" s="18">
        <f>IFERROR(VLOOKUP(C234,Alumnos!$A:$B,2,FALSE),"")</f>
        <v/>
      </c>
    </row>
    <row r="235">
      <c r="A235" s="19" t="n"/>
      <c r="E235" s="21" t="n"/>
      <c r="H235" s="18">
        <f>IFERROR(VLOOKUP(C235,Alumnos!$A:$B,2,FALSE),"")</f>
        <v/>
      </c>
    </row>
    <row r="236">
      <c r="A236" s="19" t="n"/>
      <c r="E236" s="21" t="n"/>
      <c r="H236" s="18">
        <f>IFERROR(VLOOKUP(C236,Alumnos!$A:$B,2,FALSE),"")</f>
        <v/>
      </c>
    </row>
    <row r="237">
      <c r="A237" s="19" t="n"/>
      <c r="E237" s="21" t="n"/>
      <c r="H237" s="18">
        <f>IFERROR(VLOOKUP(C237,Alumnos!$A:$B,2,FALSE),"")</f>
        <v/>
      </c>
    </row>
    <row r="238">
      <c r="A238" s="19" t="n"/>
      <c r="E238" s="21" t="n"/>
      <c r="H238" s="18">
        <f>IFERROR(VLOOKUP(C238,Alumnos!$A:$B,2,FALSE),"")</f>
        <v/>
      </c>
    </row>
    <row r="239">
      <c r="A239" s="19" t="n"/>
      <c r="E239" s="21" t="n"/>
      <c r="H239" s="18">
        <f>IFERROR(VLOOKUP(C239,Alumnos!$A:$B,2,FALSE),"")</f>
        <v/>
      </c>
    </row>
    <row r="240">
      <c r="A240" s="19" t="n"/>
      <c r="E240" s="21" t="n"/>
      <c r="H240" s="18">
        <f>IFERROR(VLOOKUP(C240,Alumnos!$A:$B,2,FALSE),"")</f>
        <v/>
      </c>
    </row>
    <row r="241">
      <c r="A241" s="19" t="n"/>
      <c r="E241" s="21" t="n"/>
      <c r="H241" s="18">
        <f>IFERROR(VLOOKUP(C241,Alumnos!$A:$B,2,FALSE),"")</f>
        <v/>
      </c>
    </row>
    <row r="242">
      <c r="A242" s="19" t="n"/>
      <c r="E242" s="21" t="n"/>
      <c r="H242" s="18">
        <f>IFERROR(VLOOKUP(C242,Alumnos!$A:$B,2,FALSE),"")</f>
        <v/>
      </c>
    </row>
    <row r="243">
      <c r="A243" s="19" t="n"/>
      <c r="E243" s="21" t="n"/>
      <c r="H243" s="18">
        <f>IFERROR(VLOOKUP(C243,Alumnos!$A:$B,2,FALSE),"")</f>
        <v/>
      </c>
    </row>
    <row r="244">
      <c r="A244" s="19" t="n"/>
      <c r="E244" s="21" t="n"/>
      <c r="H244" s="18">
        <f>IFERROR(VLOOKUP(C244,Alumnos!$A:$B,2,FALSE),"")</f>
        <v/>
      </c>
    </row>
    <row r="245">
      <c r="A245" s="19" t="n"/>
      <c r="E245" s="21" t="n"/>
      <c r="H245" s="18">
        <f>IFERROR(VLOOKUP(C245,Alumnos!$A:$B,2,FALSE),"")</f>
        <v/>
      </c>
    </row>
    <row r="246">
      <c r="A246" s="19" t="n"/>
      <c r="E246" s="21" t="n"/>
      <c r="H246" s="18">
        <f>IFERROR(VLOOKUP(C246,Alumnos!$A:$B,2,FALSE),"")</f>
        <v/>
      </c>
    </row>
    <row r="247">
      <c r="A247" s="19" t="n"/>
      <c r="E247" s="21" t="n"/>
      <c r="H247" s="18">
        <f>IFERROR(VLOOKUP(C247,Alumnos!$A:$B,2,FALSE),"")</f>
        <v/>
      </c>
    </row>
    <row r="248">
      <c r="A248" s="19" t="n"/>
      <c r="E248" s="21" t="n"/>
      <c r="H248" s="18">
        <f>IFERROR(VLOOKUP(C248,Alumnos!$A:$B,2,FALSE),"")</f>
        <v/>
      </c>
    </row>
    <row r="249">
      <c r="A249" s="19" t="n"/>
      <c r="E249" s="21" t="n"/>
      <c r="H249" s="18">
        <f>IFERROR(VLOOKUP(C249,Alumnos!$A:$B,2,FALSE),"")</f>
        <v/>
      </c>
    </row>
    <row r="250">
      <c r="A250" s="19" t="n"/>
      <c r="E250" s="21" t="n"/>
      <c r="H250" s="18">
        <f>IFERROR(VLOOKUP(C250,Alumnos!$A:$B,2,FALSE),"")</f>
        <v/>
      </c>
    </row>
    <row r="251">
      <c r="A251" s="19" t="n"/>
      <c r="E251" s="21" t="n"/>
      <c r="H251" s="18">
        <f>IFERROR(VLOOKUP(C251,Alumnos!$A:$B,2,FALSE),"")</f>
        <v/>
      </c>
    </row>
    <row r="252">
      <c r="A252" s="19" t="n"/>
      <c r="E252" s="21" t="n"/>
      <c r="H252" s="18">
        <f>IFERROR(VLOOKUP(C252,Alumnos!$A:$B,2,FALSE),"")</f>
        <v/>
      </c>
    </row>
    <row r="253">
      <c r="A253" s="19" t="n"/>
      <c r="E253" s="21" t="n"/>
      <c r="H253" s="18">
        <f>IFERROR(VLOOKUP(C253,Alumnos!$A:$B,2,FALSE),"")</f>
        <v/>
      </c>
    </row>
    <row r="254">
      <c r="A254" s="19" t="n"/>
      <c r="E254" s="21" t="n"/>
      <c r="H254" s="18">
        <f>IFERROR(VLOOKUP(C254,Alumnos!$A:$B,2,FALSE),"")</f>
        <v/>
      </c>
    </row>
    <row r="255">
      <c r="A255" s="19" t="n"/>
      <c r="E255" s="21" t="n"/>
      <c r="H255" s="18">
        <f>IFERROR(VLOOKUP(C255,Alumnos!$A:$B,2,FALSE),"")</f>
        <v/>
      </c>
    </row>
    <row r="256">
      <c r="A256" s="19" t="n"/>
      <c r="E256" s="21" t="n"/>
      <c r="H256" s="18">
        <f>IFERROR(VLOOKUP(C256,Alumnos!$A:$B,2,FALSE),"")</f>
        <v/>
      </c>
    </row>
    <row r="257">
      <c r="A257" s="19" t="n"/>
      <c r="E257" s="21" t="n"/>
      <c r="H257" s="18">
        <f>IFERROR(VLOOKUP(C257,Alumnos!$A:$B,2,FALSE),"")</f>
        <v/>
      </c>
    </row>
    <row r="258">
      <c r="A258" s="19" t="n"/>
      <c r="E258" s="21" t="n"/>
      <c r="H258" s="18">
        <f>IFERROR(VLOOKUP(C258,Alumnos!$A:$B,2,FALSE),"")</f>
        <v/>
      </c>
    </row>
    <row r="259">
      <c r="A259" s="19" t="n"/>
      <c r="E259" s="21" t="n"/>
      <c r="H259" s="18">
        <f>IFERROR(VLOOKUP(C259,Alumnos!$A:$B,2,FALSE),"")</f>
        <v/>
      </c>
    </row>
    <row r="260">
      <c r="A260" s="19" t="n"/>
      <c r="E260" s="21" t="n"/>
      <c r="H260" s="18">
        <f>IFERROR(VLOOKUP(C260,Alumnos!$A:$B,2,FALSE),"")</f>
        <v/>
      </c>
    </row>
    <row r="261">
      <c r="A261" s="19" t="n"/>
      <c r="E261" s="21" t="n"/>
      <c r="H261" s="18">
        <f>IFERROR(VLOOKUP(C261,Alumnos!$A:$B,2,FALSE),"")</f>
        <v/>
      </c>
    </row>
    <row r="262">
      <c r="A262" s="19" t="n"/>
      <c r="E262" s="21" t="n"/>
      <c r="H262" s="18">
        <f>IFERROR(VLOOKUP(C262,Alumnos!$A:$B,2,FALSE),"")</f>
        <v/>
      </c>
    </row>
    <row r="263">
      <c r="A263" s="19" t="n"/>
      <c r="E263" s="21" t="n"/>
      <c r="H263" s="18">
        <f>IFERROR(VLOOKUP(C263,Alumnos!$A:$B,2,FALSE),"")</f>
        <v/>
      </c>
    </row>
    <row r="264">
      <c r="A264" s="19" t="n"/>
      <c r="E264" s="21" t="n"/>
      <c r="H264" s="18">
        <f>IFERROR(VLOOKUP(C264,Alumnos!$A:$B,2,FALSE),"")</f>
        <v/>
      </c>
    </row>
    <row r="265">
      <c r="A265" s="19" t="n"/>
      <c r="E265" s="21" t="n"/>
      <c r="H265" s="18">
        <f>IFERROR(VLOOKUP(C265,Alumnos!$A:$B,2,FALSE),"")</f>
        <v/>
      </c>
    </row>
    <row r="266">
      <c r="A266" s="19" t="n"/>
      <c r="E266" s="21" t="n"/>
      <c r="H266" s="18">
        <f>IFERROR(VLOOKUP(C266,Alumnos!$A:$B,2,FALSE),"")</f>
        <v/>
      </c>
    </row>
    <row r="267">
      <c r="A267" s="19" t="n"/>
      <c r="E267" s="21" t="n"/>
      <c r="H267" s="18">
        <f>IFERROR(VLOOKUP(C267,Alumnos!$A:$B,2,FALSE),"")</f>
        <v/>
      </c>
    </row>
    <row r="268">
      <c r="A268" s="19" t="n"/>
      <c r="E268" s="21" t="n"/>
      <c r="H268" s="18">
        <f>IFERROR(VLOOKUP(C268,Alumnos!$A:$B,2,FALSE),"")</f>
        <v/>
      </c>
    </row>
    <row r="269">
      <c r="A269" s="19" t="n"/>
      <c r="E269" s="21" t="n"/>
      <c r="H269" s="18">
        <f>IFERROR(VLOOKUP(C269,Alumnos!$A:$B,2,FALSE),"")</f>
        <v/>
      </c>
    </row>
    <row r="270">
      <c r="A270" s="19" t="n"/>
      <c r="E270" s="21" t="n"/>
      <c r="H270" s="18">
        <f>IFERROR(VLOOKUP(C270,Alumnos!$A:$B,2,FALSE),"")</f>
        <v/>
      </c>
    </row>
    <row r="271">
      <c r="A271" s="19" t="n"/>
      <c r="E271" s="21" t="n"/>
      <c r="H271" s="18">
        <f>IFERROR(VLOOKUP(C271,Alumnos!$A:$B,2,FALSE),"")</f>
        <v/>
      </c>
    </row>
    <row r="272">
      <c r="A272" s="19" t="n"/>
      <c r="E272" s="21" t="n"/>
      <c r="H272" s="18">
        <f>IFERROR(VLOOKUP(C272,Alumnos!$A:$B,2,FALSE),"")</f>
        <v/>
      </c>
    </row>
    <row r="273">
      <c r="A273" s="19" t="n"/>
      <c r="E273" s="21" t="n"/>
      <c r="H273" s="18">
        <f>IFERROR(VLOOKUP(C273,Alumnos!$A:$B,2,FALSE),"")</f>
        <v/>
      </c>
    </row>
    <row r="274">
      <c r="A274" s="19" t="n"/>
      <c r="E274" s="21" t="n"/>
      <c r="H274" s="18">
        <f>IFERROR(VLOOKUP(C274,Alumnos!$A:$B,2,FALSE),"")</f>
        <v/>
      </c>
    </row>
    <row r="275">
      <c r="A275" s="19" t="n"/>
      <c r="E275" s="21" t="n"/>
      <c r="H275" s="18">
        <f>IFERROR(VLOOKUP(C275,Alumnos!$A:$B,2,FALSE),"")</f>
        <v/>
      </c>
    </row>
    <row r="276">
      <c r="A276" s="19" t="n"/>
      <c r="E276" s="21" t="n"/>
      <c r="H276" s="18">
        <f>IFERROR(VLOOKUP(C276,Alumnos!$A:$B,2,FALSE),"")</f>
        <v/>
      </c>
    </row>
    <row r="277">
      <c r="A277" s="19" t="n"/>
      <c r="E277" s="21" t="n"/>
      <c r="H277" s="18">
        <f>IFERROR(VLOOKUP(C277,Alumnos!$A:$B,2,FALSE),"")</f>
        <v/>
      </c>
    </row>
    <row r="278">
      <c r="A278" s="19" t="n"/>
      <c r="E278" s="21" t="n"/>
      <c r="H278" s="18">
        <f>IFERROR(VLOOKUP(C278,Alumnos!$A:$B,2,FALSE),"")</f>
        <v/>
      </c>
    </row>
    <row r="279">
      <c r="A279" s="19" t="n"/>
      <c r="E279" s="21" t="n"/>
      <c r="H279" s="18">
        <f>IFERROR(VLOOKUP(C279,Alumnos!$A:$B,2,FALSE),"")</f>
        <v/>
      </c>
    </row>
    <row r="280">
      <c r="A280" s="19" t="n"/>
      <c r="E280" s="21" t="n"/>
      <c r="H280" s="18">
        <f>IFERROR(VLOOKUP(C280,Alumnos!$A:$B,2,FALSE),"")</f>
        <v/>
      </c>
    </row>
    <row r="281">
      <c r="A281" s="19" t="n"/>
      <c r="E281" s="21" t="n"/>
      <c r="H281" s="18">
        <f>IFERROR(VLOOKUP(C281,Alumnos!$A:$B,2,FALSE),"")</f>
        <v/>
      </c>
    </row>
    <row r="282">
      <c r="A282" s="19" t="n"/>
      <c r="E282" s="21" t="n"/>
      <c r="H282" s="18">
        <f>IFERROR(VLOOKUP(C282,Alumnos!$A:$B,2,FALSE),"")</f>
        <v/>
      </c>
    </row>
    <row r="283">
      <c r="A283" s="19" t="n"/>
      <c r="E283" s="21" t="n"/>
      <c r="H283" s="18">
        <f>IFERROR(VLOOKUP(C283,Alumnos!$A:$B,2,FALSE),"")</f>
        <v/>
      </c>
    </row>
    <row r="284">
      <c r="A284" s="19" t="n"/>
      <c r="E284" s="21" t="n"/>
      <c r="H284" s="18">
        <f>IFERROR(VLOOKUP(C284,Alumnos!$A:$B,2,FALSE),"")</f>
        <v/>
      </c>
    </row>
    <row r="285">
      <c r="A285" s="19" t="n"/>
      <c r="E285" s="21" t="n"/>
      <c r="H285" s="18">
        <f>IFERROR(VLOOKUP(C285,Alumnos!$A:$B,2,FALSE),"")</f>
        <v/>
      </c>
    </row>
    <row r="286">
      <c r="A286" s="19" t="n"/>
      <c r="E286" s="21" t="n"/>
      <c r="H286" s="18">
        <f>IFERROR(VLOOKUP(C286,Alumnos!$A:$B,2,FALSE),"")</f>
        <v/>
      </c>
    </row>
    <row r="287">
      <c r="A287" s="19" t="n"/>
      <c r="E287" s="21" t="n"/>
      <c r="H287" s="18">
        <f>IFERROR(VLOOKUP(C287,Alumnos!$A:$B,2,FALSE),"")</f>
        <v/>
      </c>
    </row>
    <row r="288">
      <c r="A288" s="19" t="n"/>
      <c r="E288" s="21" t="n"/>
      <c r="H288" s="18">
        <f>IFERROR(VLOOKUP(C288,Alumnos!$A:$B,2,FALSE),"")</f>
        <v/>
      </c>
    </row>
    <row r="289">
      <c r="A289" s="19" t="n"/>
      <c r="E289" s="21" t="n"/>
      <c r="H289" s="18">
        <f>IFERROR(VLOOKUP(C289,Alumnos!$A:$B,2,FALSE),"")</f>
        <v/>
      </c>
    </row>
    <row r="290">
      <c r="A290" s="19" t="n"/>
      <c r="E290" s="21" t="n"/>
      <c r="H290" s="18">
        <f>IFERROR(VLOOKUP(C290,Alumnos!$A:$B,2,FALSE),"")</f>
        <v/>
      </c>
    </row>
    <row r="291">
      <c r="A291" s="19" t="n"/>
      <c r="E291" s="21" t="n"/>
      <c r="H291" s="18">
        <f>IFERROR(VLOOKUP(C291,Alumnos!$A:$B,2,FALSE),"")</f>
        <v/>
      </c>
    </row>
    <row r="292">
      <c r="A292" s="19" t="n"/>
      <c r="E292" s="21" t="n"/>
      <c r="H292" s="18">
        <f>IFERROR(VLOOKUP(C292,Alumnos!$A:$B,2,FALSE),"")</f>
        <v/>
      </c>
    </row>
    <row r="293">
      <c r="A293" s="19" t="n"/>
      <c r="E293" s="21" t="n"/>
      <c r="H293" s="18">
        <f>IFERROR(VLOOKUP(C293,Alumnos!$A:$B,2,FALSE),"")</f>
        <v/>
      </c>
    </row>
    <row r="294">
      <c r="A294" s="19" t="n"/>
      <c r="E294" s="21" t="n"/>
      <c r="H294" s="18">
        <f>IFERROR(VLOOKUP(C294,Alumnos!$A:$B,2,FALSE),"")</f>
        <v/>
      </c>
    </row>
    <row r="295">
      <c r="A295" s="19" t="n"/>
      <c r="E295" s="21" t="n"/>
      <c r="H295" s="18">
        <f>IFERROR(VLOOKUP(C295,Alumnos!$A:$B,2,FALSE),"")</f>
        <v/>
      </c>
    </row>
    <row r="296">
      <c r="A296" s="19" t="n"/>
      <c r="E296" s="21" t="n"/>
      <c r="H296" s="18">
        <f>IFERROR(VLOOKUP(C296,Alumnos!$A:$B,2,FALSE),"")</f>
        <v/>
      </c>
    </row>
    <row r="297">
      <c r="A297" s="19" t="n"/>
      <c r="E297" s="21" t="n"/>
      <c r="H297" s="18">
        <f>IFERROR(VLOOKUP(C297,Alumnos!$A:$B,2,FALSE),"")</f>
        <v/>
      </c>
    </row>
    <row r="298">
      <c r="A298" s="19" t="n"/>
      <c r="E298" s="21" t="n"/>
      <c r="H298" s="18">
        <f>IFERROR(VLOOKUP(C298,Alumnos!$A:$B,2,FALSE),"")</f>
        <v/>
      </c>
    </row>
    <row r="299">
      <c r="A299" s="19" t="n"/>
      <c r="E299" s="21" t="n"/>
      <c r="H299" s="18">
        <f>IFERROR(VLOOKUP(C299,Alumnos!$A:$B,2,FALSE),"")</f>
        <v/>
      </c>
    </row>
    <row r="300">
      <c r="A300" s="19" t="n"/>
      <c r="E300" s="21" t="n"/>
      <c r="H300" s="18">
        <f>IFERROR(VLOOKUP(C300,Alumnos!$A:$B,2,FALSE),"")</f>
        <v/>
      </c>
    </row>
    <row r="301">
      <c r="A301" s="19" t="n"/>
      <c r="E301" s="21" t="n"/>
      <c r="H301" s="18">
        <f>IFERROR(VLOOKUP(C301,Alumnos!$A:$B,2,FALSE),"")</f>
        <v/>
      </c>
    </row>
    <row r="302">
      <c r="A302" s="19" t="n"/>
      <c r="E302" s="21" t="n"/>
      <c r="H302" s="18">
        <f>IFERROR(VLOOKUP(C302,Alumnos!$A:$B,2,FALSE),"")</f>
        <v/>
      </c>
    </row>
    <row r="303">
      <c r="A303" s="19" t="n"/>
      <c r="E303" s="21" t="n"/>
      <c r="H303" s="18">
        <f>IFERROR(VLOOKUP(C303,Alumnos!$A:$B,2,FALSE),"")</f>
        <v/>
      </c>
    </row>
    <row r="304">
      <c r="A304" s="19" t="n"/>
      <c r="E304" s="21" t="n"/>
      <c r="H304" s="18">
        <f>IFERROR(VLOOKUP(C304,Alumnos!$A:$B,2,FALSE),"")</f>
        <v/>
      </c>
    </row>
    <row r="305">
      <c r="A305" s="19" t="n"/>
      <c r="E305" s="21" t="n"/>
      <c r="H305" s="18">
        <f>IFERROR(VLOOKUP(C305,Alumnos!$A:$B,2,FALSE),"")</f>
        <v/>
      </c>
    </row>
    <row r="306">
      <c r="A306" s="19" t="n"/>
      <c r="E306" s="21" t="n"/>
      <c r="H306" s="18">
        <f>IFERROR(VLOOKUP(C306,Alumnos!$A:$B,2,FALSE),"")</f>
        <v/>
      </c>
    </row>
    <row r="307">
      <c r="A307" s="19" t="n"/>
      <c r="E307" s="21" t="n"/>
      <c r="H307" s="18">
        <f>IFERROR(VLOOKUP(C307,Alumnos!$A:$B,2,FALSE),"")</f>
        <v/>
      </c>
    </row>
    <row r="308">
      <c r="A308" s="19" t="n"/>
      <c r="E308" s="21" t="n"/>
      <c r="H308" s="18">
        <f>IFERROR(VLOOKUP(C308,Alumnos!$A:$B,2,FALSE),"")</f>
        <v/>
      </c>
    </row>
    <row r="309">
      <c r="A309" s="19" t="n"/>
      <c r="E309" s="21" t="n"/>
      <c r="H309" s="18">
        <f>IFERROR(VLOOKUP(C309,Alumnos!$A:$B,2,FALSE),"")</f>
        <v/>
      </c>
    </row>
    <row r="310">
      <c r="A310" s="19" t="n"/>
      <c r="E310" s="21" t="n"/>
      <c r="H310" s="18">
        <f>IFERROR(VLOOKUP(C310,Alumnos!$A:$B,2,FALSE),"")</f>
        <v/>
      </c>
    </row>
    <row r="311">
      <c r="A311" s="19" t="n"/>
      <c r="E311" s="21" t="n"/>
      <c r="H311" s="18">
        <f>IFERROR(VLOOKUP(C311,Alumnos!$A:$B,2,FALSE),"")</f>
        <v/>
      </c>
    </row>
    <row r="312">
      <c r="A312" s="19" t="n"/>
      <c r="E312" s="21" t="n"/>
      <c r="H312" s="18">
        <f>IFERROR(VLOOKUP(C312,Alumnos!$A:$B,2,FALSE),"")</f>
        <v/>
      </c>
    </row>
    <row r="313">
      <c r="A313" s="19" t="n"/>
      <c r="E313" s="21" t="n"/>
      <c r="H313" s="18">
        <f>IFERROR(VLOOKUP(C313,Alumnos!$A:$B,2,FALSE),"")</f>
        <v/>
      </c>
    </row>
    <row r="314">
      <c r="A314" s="19" t="n"/>
      <c r="E314" s="21" t="n"/>
      <c r="H314" s="18">
        <f>IFERROR(VLOOKUP(C314,Alumnos!$A:$B,2,FALSE),"")</f>
        <v/>
      </c>
    </row>
    <row r="315">
      <c r="A315" s="19" t="n"/>
      <c r="E315" s="21" t="n"/>
      <c r="H315" s="18">
        <f>IFERROR(VLOOKUP(C315,Alumnos!$A:$B,2,FALSE),"")</f>
        <v/>
      </c>
    </row>
    <row r="316">
      <c r="A316" s="19" t="n"/>
      <c r="E316" s="21" t="n"/>
      <c r="H316" s="18">
        <f>IFERROR(VLOOKUP(C316,Alumnos!$A:$B,2,FALSE),"")</f>
        <v/>
      </c>
    </row>
    <row r="317">
      <c r="A317" s="19" t="n"/>
      <c r="E317" s="21" t="n"/>
      <c r="H317" s="18">
        <f>IFERROR(VLOOKUP(C317,Alumnos!$A:$B,2,FALSE),"")</f>
        <v/>
      </c>
    </row>
    <row r="318">
      <c r="A318" s="19" t="n"/>
      <c r="E318" s="21" t="n"/>
      <c r="H318" s="18">
        <f>IFERROR(VLOOKUP(C318,Alumnos!$A:$B,2,FALSE),"")</f>
        <v/>
      </c>
    </row>
    <row r="319">
      <c r="A319" s="19" t="n"/>
      <c r="E319" s="21" t="n"/>
      <c r="H319" s="18">
        <f>IFERROR(VLOOKUP(C319,Alumnos!$A:$B,2,FALSE),"")</f>
        <v/>
      </c>
    </row>
    <row r="320">
      <c r="A320" s="19" t="n"/>
      <c r="E320" s="21" t="n"/>
      <c r="H320" s="18">
        <f>IFERROR(VLOOKUP(C320,Alumnos!$A:$B,2,FALSE),"")</f>
        <v/>
      </c>
    </row>
    <row r="321">
      <c r="A321" s="19" t="n"/>
      <c r="E321" s="21" t="n"/>
      <c r="H321" s="18">
        <f>IFERROR(VLOOKUP(C321,Alumnos!$A:$B,2,FALSE),"")</f>
        <v/>
      </c>
    </row>
    <row r="322">
      <c r="A322" s="19" t="n"/>
      <c r="E322" s="21" t="n"/>
      <c r="H322" s="18">
        <f>IFERROR(VLOOKUP(C322,Alumnos!$A:$B,2,FALSE),"")</f>
        <v/>
      </c>
    </row>
    <row r="323">
      <c r="A323" s="19" t="n"/>
      <c r="E323" s="21" t="n"/>
      <c r="H323" s="18">
        <f>IFERROR(VLOOKUP(C323,Alumnos!$A:$B,2,FALSE),"")</f>
        <v/>
      </c>
    </row>
    <row r="324">
      <c r="A324" s="19" t="n"/>
      <c r="E324" s="21" t="n"/>
      <c r="H324" s="18">
        <f>IFERROR(VLOOKUP(C324,Alumnos!$A:$B,2,FALSE),"")</f>
        <v/>
      </c>
    </row>
    <row r="325">
      <c r="A325" s="19" t="n"/>
      <c r="E325" s="21" t="n"/>
      <c r="H325" s="18">
        <f>IFERROR(VLOOKUP(C325,Alumnos!$A:$B,2,FALSE),"")</f>
        <v/>
      </c>
    </row>
    <row r="326">
      <c r="A326" s="19" t="n"/>
      <c r="E326" s="21" t="n"/>
      <c r="H326" s="18">
        <f>IFERROR(VLOOKUP(C326,Alumnos!$A:$B,2,FALSE),"")</f>
        <v/>
      </c>
    </row>
    <row r="327">
      <c r="A327" s="19" t="n"/>
      <c r="E327" s="21" t="n"/>
      <c r="H327" s="18">
        <f>IFERROR(VLOOKUP(C327,Alumnos!$A:$B,2,FALSE),"")</f>
        <v/>
      </c>
    </row>
    <row r="328">
      <c r="A328" s="19" t="n"/>
      <c r="E328" s="21" t="n"/>
      <c r="H328" s="18">
        <f>IFERROR(VLOOKUP(C328,Alumnos!$A:$B,2,FALSE),"")</f>
        <v/>
      </c>
    </row>
    <row r="329">
      <c r="A329" s="19" t="n"/>
      <c r="E329" s="21" t="n"/>
      <c r="H329" s="18">
        <f>IFERROR(VLOOKUP(C329,Alumnos!$A:$B,2,FALSE),"")</f>
        <v/>
      </c>
    </row>
    <row r="330">
      <c r="A330" s="19" t="n"/>
      <c r="E330" s="21" t="n"/>
      <c r="H330" s="18">
        <f>IFERROR(VLOOKUP(C330,Alumnos!$A:$B,2,FALSE),"")</f>
        <v/>
      </c>
    </row>
    <row r="331">
      <c r="A331" s="19" t="n"/>
      <c r="E331" s="21" t="n"/>
      <c r="H331" s="18">
        <f>IFERROR(VLOOKUP(C331,Alumnos!$A:$B,2,FALSE),"")</f>
        <v/>
      </c>
    </row>
    <row r="332">
      <c r="A332" s="19" t="n"/>
      <c r="E332" s="21" t="n"/>
      <c r="H332" s="18">
        <f>IFERROR(VLOOKUP(C332,Alumnos!$A:$B,2,FALSE),"")</f>
        <v/>
      </c>
    </row>
    <row r="333">
      <c r="A333" s="19" t="n"/>
      <c r="E333" s="21" t="n"/>
      <c r="H333" s="18">
        <f>IFERROR(VLOOKUP(C333,Alumnos!$A:$B,2,FALSE),"")</f>
        <v/>
      </c>
    </row>
    <row r="334">
      <c r="A334" s="19" t="n"/>
      <c r="E334" s="21" t="n"/>
      <c r="H334" s="18">
        <f>IFERROR(VLOOKUP(C334,Alumnos!$A:$B,2,FALSE),"")</f>
        <v/>
      </c>
    </row>
    <row r="335">
      <c r="A335" s="19" t="n"/>
      <c r="E335" s="21" t="n"/>
      <c r="H335" s="18">
        <f>IFERROR(VLOOKUP(C335,Alumnos!$A:$B,2,FALSE),"")</f>
        <v/>
      </c>
    </row>
    <row r="336">
      <c r="A336" s="19" t="n"/>
      <c r="E336" s="21" t="n"/>
      <c r="H336" s="18">
        <f>IFERROR(VLOOKUP(C336,Alumnos!$A:$B,2,FALSE),"")</f>
        <v/>
      </c>
    </row>
    <row r="337">
      <c r="A337" s="19" t="n"/>
      <c r="E337" s="21" t="n"/>
      <c r="H337" s="18">
        <f>IFERROR(VLOOKUP(C337,Alumnos!$A:$B,2,FALSE),"")</f>
        <v/>
      </c>
    </row>
    <row r="338">
      <c r="A338" s="19" t="n"/>
      <c r="E338" s="21" t="n"/>
      <c r="H338" s="18">
        <f>IFERROR(VLOOKUP(C338,Alumnos!$A:$B,2,FALSE),"")</f>
        <v/>
      </c>
    </row>
    <row r="339">
      <c r="A339" s="19" t="n"/>
      <c r="E339" s="21" t="n"/>
      <c r="H339" s="18">
        <f>IFERROR(VLOOKUP(C339,Alumnos!$A:$B,2,FALSE),"")</f>
        <v/>
      </c>
    </row>
    <row r="340">
      <c r="A340" s="19" t="n"/>
      <c r="E340" s="21" t="n"/>
      <c r="H340" s="18">
        <f>IFERROR(VLOOKUP(C340,Alumnos!$A:$B,2,FALSE),"")</f>
        <v/>
      </c>
    </row>
    <row r="341">
      <c r="A341" s="19" t="n"/>
      <c r="E341" s="21" t="n"/>
      <c r="H341" s="18">
        <f>IFERROR(VLOOKUP(C341,Alumnos!$A:$B,2,FALSE),"")</f>
        <v/>
      </c>
    </row>
    <row r="342">
      <c r="A342" s="19" t="n"/>
      <c r="E342" s="21" t="n"/>
      <c r="H342" s="18">
        <f>IFERROR(VLOOKUP(C342,Alumnos!$A:$B,2,FALSE),"")</f>
        <v/>
      </c>
    </row>
    <row r="343">
      <c r="A343" s="19" t="n"/>
      <c r="E343" s="21" t="n"/>
      <c r="H343" s="18">
        <f>IFERROR(VLOOKUP(C343,Alumnos!$A:$B,2,FALSE),"")</f>
        <v/>
      </c>
    </row>
    <row r="344">
      <c r="A344" s="19" t="n"/>
      <c r="E344" s="21" t="n"/>
      <c r="H344" s="18">
        <f>IFERROR(VLOOKUP(C344,Alumnos!$A:$B,2,FALSE),"")</f>
        <v/>
      </c>
    </row>
    <row r="345">
      <c r="A345" s="19" t="n"/>
      <c r="E345" s="21" t="n"/>
      <c r="H345" s="18">
        <f>IFERROR(VLOOKUP(C345,Alumnos!$A:$B,2,FALSE),"")</f>
        <v/>
      </c>
    </row>
    <row r="346">
      <c r="A346" s="19" t="n"/>
      <c r="E346" s="21" t="n"/>
      <c r="H346" s="18">
        <f>IFERROR(VLOOKUP(C346,Alumnos!$A:$B,2,FALSE),"")</f>
        <v/>
      </c>
    </row>
    <row r="347">
      <c r="A347" s="19" t="n"/>
      <c r="E347" s="21" t="n"/>
      <c r="H347" s="18">
        <f>IFERROR(VLOOKUP(C347,Alumnos!$A:$B,2,FALSE),"")</f>
        <v/>
      </c>
    </row>
    <row r="348">
      <c r="A348" s="19" t="n"/>
      <c r="E348" s="21" t="n"/>
      <c r="H348" s="18">
        <f>IFERROR(VLOOKUP(C348,Alumnos!$A:$B,2,FALSE),"")</f>
        <v/>
      </c>
    </row>
    <row r="349">
      <c r="A349" s="19" t="n"/>
      <c r="E349" s="21" t="n"/>
      <c r="H349" s="18">
        <f>IFERROR(VLOOKUP(C349,Alumnos!$A:$B,2,FALSE),"")</f>
        <v/>
      </c>
    </row>
    <row r="350">
      <c r="A350" s="19" t="n"/>
      <c r="E350" s="21" t="n"/>
      <c r="H350" s="18">
        <f>IFERROR(VLOOKUP(C350,Alumnos!$A:$B,2,FALSE),"")</f>
        <v/>
      </c>
    </row>
    <row r="351">
      <c r="A351" s="19" t="n"/>
      <c r="E351" s="21" t="n"/>
      <c r="H351" s="18">
        <f>IFERROR(VLOOKUP(C351,Alumnos!$A:$B,2,FALSE),"")</f>
        <v/>
      </c>
    </row>
    <row r="352">
      <c r="A352" s="19" t="n"/>
      <c r="E352" s="21" t="n"/>
      <c r="H352" s="18">
        <f>IFERROR(VLOOKUP(C352,Alumnos!$A:$B,2,FALSE),"")</f>
        <v/>
      </c>
    </row>
    <row r="353">
      <c r="A353" s="19" t="n"/>
      <c r="E353" s="21" t="n"/>
      <c r="H353" s="18">
        <f>IFERROR(VLOOKUP(C353,Alumnos!$A:$B,2,FALSE),"")</f>
        <v/>
      </c>
    </row>
    <row r="354">
      <c r="A354" s="19" t="n"/>
      <c r="E354" s="21" t="n"/>
      <c r="H354" s="18">
        <f>IFERROR(VLOOKUP(C354,Alumnos!$A:$B,2,FALSE),"")</f>
        <v/>
      </c>
    </row>
    <row r="355">
      <c r="A355" s="19" t="n"/>
      <c r="E355" s="21" t="n"/>
      <c r="H355" s="18">
        <f>IFERROR(VLOOKUP(C355,Alumnos!$A:$B,2,FALSE),"")</f>
        <v/>
      </c>
    </row>
    <row r="356">
      <c r="A356" s="19" t="n"/>
      <c r="E356" s="21" t="n"/>
      <c r="H356" s="18">
        <f>IFERROR(VLOOKUP(C356,Alumnos!$A:$B,2,FALSE),"")</f>
        <v/>
      </c>
    </row>
    <row r="357">
      <c r="A357" s="19" t="n"/>
      <c r="E357" s="21" t="n"/>
      <c r="H357" s="18">
        <f>IFERROR(VLOOKUP(C357,Alumnos!$A:$B,2,FALSE),"")</f>
        <v/>
      </c>
    </row>
    <row r="358">
      <c r="A358" s="19" t="n"/>
      <c r="E358" s="21" t="n"/>
      <c r="H358" s="18">
        <f>IFERROR(VLOOKUP(C358,Alumnos!$A:$B,2,FALSE),"")</f>
        <v/>
      </c>
    </row>
    <row r="359">
      <c r="A359" s="19" t="n"/>
      <c r="E359" s="21" t="n"/>
      <c r="H359" s="18">
        <f>IFERROR(VLOOKUP(C359,Alumnos!$A:$B,2,FALSE),"")</f>
        <v/>
      </c>
    </row>
    <row r="360">
      <c r="A360" s="19" t="n"/>
      <c r="E360" s="21" t="n"/>
      <c r="H360" s="18">
        <f>IFERROR(VLOOKUP(C360,Alumnos!$A:$B,2,FALSE),"")</f>
        <v/>
      </c>
    </row>
    <row r="361">
      <c r="A361" s="19" t="n"/>
      <c r="E361" s="21" t="n"/>
      <c r="H361" s="18">
        <f>IFERROR(VLOOKUP(C361,Alumnos!$A:$B,2,FALSE),"")</f>
        <v/>
      </c>
    </row>
    <row r="362">
      <c r="A362" s="19" t="n"/>
      <c r="E362" s="21" t="n"/>
      <c r="H362" s="18">
        <f>IFERROR(VLOOKUP(C362,Alumnos!$A:$B,2,FALSE),"")</f>
        <v/>
      </c>
    </row>
    <row r="363">
      <c r="A363" s="19" t="n"/>
      <c r="E363" s="21" t="n"/>
      <c r="H363" s="18">
        <f>IFERROR(VLOOKUP(C363,Alumnos!$A:$B,2,FALSE),"")</f>
        <v/>
      </c>
    </row>
    <row r="364">
      <c r="A364" s="19" t="n"/>
      <c r="E364" s="21" t="n"/>
      <c r="H364" s="18">
        <f>IFERROR(VLOOKUP(C364,Alumnos!$A:$B,2,FALSE),"")</f>
        <v/>
      </c>
    </row>
    <row r="365">
      <c r="A365" s="19" t="n"/>
      <c r="E365" s="21" t="n"/>
      <c r="H365" s="18">
        <f>IFERROR(VLOOKUP(C365,Alumnos!$A:$B,2,FALSE),"")</f>
        <v/>
      </c>
    </row>
    <row r="366">
      <c r="A366" s="19" t="n"/>
      <c r="E366" s="21" t="n"/>
      <c r="H366" s="18">
        <f>IFERROR(VLOOKUP(C366,Alumnos!$A:$B,2,FALSE),"")</f>
        <v/>
      </c>
    </row>
    <row r="367">
      <c r="A367" s="19" t="n"/>
      <c r="E367" s="21" t="n"/>
      <c r="H367" s="18">
        <f>IFERROR(VLOOKUP(C367,Alumnos!$A:$B,2,FALSE),"")</f>
        <v/>
      </c>
    </row>
    <row r="368">
      <c r="A368" s="19" t="n"/>
      <c r="E368" s="21" t="n"/>
      <c r="H368" s="18">
        <f>IFERROR(VLOOKUP(C368,Alumnos!$A:$B,2,FALSE),"")</f>
        <v/>
      </c>
    </row>
    <row r="369">
      <c r="A369" s="19" t="n"/>
      <c r="E369" s="21" t="n"/>
      <c r="H369" s="18">
        <f>IFERROR(VLOOKUP(C369,Alumnos!$A:$B,2,FALSE),"")</f>
        <v/>
      </c>
    </row>
    <row r="370">
      <c r="A370" s="19" t="n"/>
      <c r="E370" s="21" t="n"/>
      <c r="H370" s="18">
        <f>IFERROR(VLOOKUP(C370,Alumnos!$A:$B,2,FALSE),"")</f>
        <v/>
      </c>
    </row>
    <row r="371">
      <c r="A371" s="19" t="n"/>
      <c r="E371" s="21" t="n"/>
      <c r="H371" s="18">
        <f>IFERROR(VLOOKUP(C371,Alumnos!$A:$B,2,FALSE),"")</f>
        <v/>
      </c>
    </row>
    <row r="372">
      <c r="A372" s="19" t="n"/>
      <c r="E372" s="21" t="n"/>
      <c r="H372" s="18">
        <f>IFERROR(VLOOKUP(C372,Alumnos!$A:$B,2,FALSE),"")</f>
        <v/>
      </c>
    </row>
    <row r="373">
      <c r="A373" s="19" t="n"/>
      <c r="E373" s="21" t="n"/>
      <c r="H373" s="18">
        <f>IFERROR(VLOOKUP(C373,Alumnos!$A:$B,2,FALSE),"")</f>
        <v/>
      </c>
    </row>
    <row r="374">
      <c r="A374" s="19" t="n"/>
      <c r="E374" s="21" t="n"/>
      <c r="H374" s="18">
        <f>IFERROR(VLOOKUP(C374,Alumnos!$A:$B,2,FALSE),"")</f>
        <v/>
      </c>
    </row>
    <row r="375">
      <c r="A375" s="19" t="n"/>
      <c r="E375" s="21" t="n"/>
      <c r="H375" s="18">
        <f>IFERROR(VLOOKUP(C375,Alumnos!$A:$B,2,FALSE),"")</f>
        <v/>
      </c>
    </row>
    <row r="376">
      <c r="A376" s="19" t="n"/>
      <c r="E376" s="21" t="n"/>
      <c r="H376" s="18">
        <f>IFERROR(VLOOKUP(C376,Alumnos!$A:$B,2,FALSE),"")</f>
        <v/>
      </c>
    </row>
    <row r="377">
      <c r="A377" s="19" t="n"/>
      <c r="E377" s="21" t="n"/>
      <c r="H377" s="18">
        <f>IFERROR(VLOOKUP(C377,Alumnos!$A:$B,2,FALSE),"")</f>
        <v/>
      </c>
    </row>
    <row r="378">
      <c r="A378" s="19" t="n"/>
      <c r="E378" s="21" t="n"/>
      <c r="H378" s="18">
        <f>IFERROR(VLOOKUP(C378,Alumnos!$A:$B,2,FALSE),"")</f>
        <v/>
      </c>
    </row>
    <row r="379">
      <c r="A379" s="19" t="n"/>
      <c r="E379" s="21" t="n"/>
      <c r="H379" s="18">
        <f>IFERROR(VLOOKUP(C379,Alumnos!$A:$B,2,FALSE),"")</f>
        <v/>
      </c>
    </row>
    <row r="380">
      <c r="A380" s="19" t="n"/>
      <c r="E380" s="21" t="n"/>
      <c r="H380" s="18">
        <f>IFERROR(VLOOKUP(C380,Alumnos!$A:$B,2,FALSE),"")</f>
        <v/>
      </c>
    </row>
    <row r="381">
      <c r="A381" s="19" t="n"/>
      <c r="E381" s="21" t="n"/>
      <c r="H381" s="18">
        <f>IFERROR(VLOOKUP(C381,Alumnos!$A:$B,2,FALSE),"")</f>
        <v/>
      </c>
    </row>
    <row r="382">
      <c r="A382" s="19" t="n"/>
      <c r="E382" s="21" t="n"/>
      <c r="H382" s="18">
        <f>IFERROR(VLOOKUP(C382,Alumnos!$A:$B,2,FALSE),"")</f>
        <v/>
      </c>
    </row>
    <row r="383">
      <c r="A383" s="19" t="n"/>
      <c r="E383" s="21" t="n"/>
      <c r="H383" s="18">
        <f>IFERROR(VLOOKUP(C383,Alumnos!$A:$B,2,FALSE),"")</f>
        <v/>
      </c>
    </row>
    <row r="384">
      <c r="A384" s="19" t="n"/>
      <c r="E384" s="21" t="n"/>
      <c r="H384" s="18">
        <f>IFERROR(VLOOKUP(C384,Alumnos!$A:$B,2,FALSE),"")</f>
        <v/>
      </c>
    </row>
    <row r="385">
      <c r="A385" s="19" t="n"/>
      <c r="E385" s="21" t="n"/>
      <c r="H385" s="18">
        <f>IFERROR(VLOOKUP(C385,Alumnos!$A:$B,2,FALSE),"")</f>
        <v/>
      </c>
    </row>
    <row r="386">
      <c r="A386" s="19" t="n"/>
      <c r="E386" s="21" t="n"/>
      <c r="H386" s="18">
        <f>IFERROR(VLOOKUP(C386,Alumnos!$A:$B,2,FALSE),"")</f>
        <v/>
      </c>
    </row>
    <row r="387">
      <c r="A387" s="19" t="n"/>
      <c r="E387" s="21" t="n"/>
      <c r="H387" s="18">
        <f>IFERROR(VLOOKUP(C387,Alumnos!$A:$B,2,FALSE),"")</f>
        <v/>
      </c>
    </row>
    <row r="388">
      <c r="A388" s="19" t="n"/>
      <c r="E388" s="21" t="n"/>
      <c r="H388" s="18">
        <f>IFERROR(VLOOKUP(C388,Alumnos!$A:$B,2,FALSE),"")</f>
        <v/>
      </c>
    </row>
    <row r="389">
      <c r="A389" s="19" t="n"/>
      <c r="E389" s="21" t="n"/>
      <c r="H389" s="18">
        <f>IFERROR(VLOOKUP(C389,Alumnos!$A:$B,2,FALSE),"")</f>
        <v/>
      </c>
    </row>
    <row r="390">
      <c r="A390" s="19" t="n"/>
      <c r="E390" s="21" t="n"/>
      <c r="H390" s="18">
        <f>IFERROR(VLOOKUP(C390,Alumnos!$A:$B,2,FALSE),"")</f>
        <v/>
      </c>
    </row>
    <row r="391">
      <c r="A391" s="19" t="n"/>
      <c r="E391" s="21" t="n"/>
      <c r="H391" s="18">
        <f>IFERROR(VLOOKUP(C391,Alumnos!$A:$B,2,FALSE),"")</f>
        <v/>
      </c>
    </row>
    <row r="392">
      <c r="A392" s="19" t="n"/>
      <c r="E392" s="21" t="n"/>
      <c r="H392" s="18">
        <f>IFERROR(VLOOKUP(C392,Alumnos!$A:$B,2,FALSE),"")</f>
        <v/>
      </c>
    </row>
    <row r="393">
      <c r="A393" s="19" t="n"/>
      <c r="E393" s="21" t="n"/>
      <c r="H393" s="18">
        <f>IFERROR(VLOOKUP(C393,Alumnos!$A:$B,2,FALSE),"")</f>
        <v/>
      </c>
    </row>
    <row r="394">
      <c r="A394" s="19" t="n"/>
      <c r="E394" s="21" t="n"/>
      <c r="H394" s="18">
        <f>IFERROR(VLOOKUP(C394,Alumnos!$A:$B,2,FALSE),"")</f>
        <v/>
      </c>
    </row>
    <row r="395">
      <c r="A395" s="19" t="n"/>
      <c r="E395" s="21" t="n"/>
      <c r="H395" s="18">
        <f>IFERROR(VLOOKUP(C395,Alumnos!$A:$B,2,FALSE),"")</f>
        <v/>
      </c>
    </row>
    <row r="396">
      <c r="A396" s="19" t="n"/>
      <c r="E396" s="21" t="n"/>
      <c r="H396" s="18">
        <f>IFERROR(VLOOKUP(C396,Alumnos!$A:$B,2,FALSE),"")</f>
        <v/>
      </c>
    </row>
    <row r="397">
      <c r="A397" s="19" t="n"/>
      <c r="E397" s="21" t="n"/>
      <c r="H397" s="18">
        <f>IFERROR(VLOOKUP(C397,Alumnos!$A:$B,2,FALSE),"")</f>
        <v/>
      </c>
    </row>
    <row r="398">
      <c r="A398" s="19" t="n"/>
      <c r="E398" s="21" t="n"/>
      <c r="H398" s="18">
        <f>IFERROR(VLOOKUP(C398,Alumnos!$A:$B,2,FALSE),"")</f>
        <v/>
      </c>
    </row>
    <row r="399">
      <c r="A399" s="19" t="n"/>
      <c r="E399" s="21" t="n"/>
      <c r="H399" s="18">
        <f>IFERROR(VLOOKUP(C399,Alumnos!$A:$B,2,FALSE),"")</f>
        <v/>
      </c>
    </row>
    <row r="400">
      <c r="A400" s="19" t="n"/>
      <c r="E400" s="21" t="n"/>
      <c r="H400" s="18">
        <f>IFERROR(VLOOKUP(C400,Alumnos!$A:$B,2,FALSE),"")</f>
        <v/>
      </c>
    </row>
    <row r="401">
      <c r="A401" s="19" t="n"/>
      <c r="E401" s="21" t="n"/>
      <c r="H401" s="18">
        <f>IFERROR(VLOOKUP(C401,Alumnos!$A:$B,2,FALSE),"")</f>
        <v/>
      </c>
    </row>
    <row r="402">
      <c r="A402" s="19" t="n"/>
      <c r="E402" s="21" t="n"/>
      <c r="H402" s="18">
        <f>IFERROR(VLOOKUP(C402,Alumnos!$A:$B,2,FALSE),"")</f>
        <v/>
      </c>
    </row>
    <row r="403">
      <c r="A403" s="19" t="n"/>
      <c r="E403" s="21" t="n"/>
      <c r="H403" s="18">
        <f>IFERROR(VLOOKUP(C403,Alumnos!$A:$B,2,FALSE),"")</f>
        <v/>
      </c>
    </row>
    <row r="404">
      <c r="A404" s="19" t="n"/>
      <c r="E404" s="21" t="n"/>
      <c r="H404" s="18">
        <f>IFERROR(VLOOKUP(C404,Alumnos!$A:$B,2,FALSE),"")</f>
        <v/>
      </c>
    </row>
    <row r="405">
      <c r="A405" s="19" t="n"/>
      <c r="E405" s="21" t="n"/>
      <c r="H405" s="18">
        <f>IFERROR(VLOOKUP(C405,Alumnos!$A:$B,2,FALSE),"")</f>
        <v/>
      </c>
    </row>
    <row r="406">
      <c r="A406" s="19" t="n"/>
      <c r="E406" s="21" t="n"/>
      <c r="H406" s="18">
        <f>IFERROR(VLOOKUP(C406,Alumnos!$A:$B,2,FALSE),"")</f>
        <v/>
      </c>
    </row>
    <row r="407">
      <c r="A407" s="19" t="n"/>
      <c r="E407" s="21" t="n"/>
      <c r="H407" s="18">
        <f>IFERROR(VLOOKUP(C407,Alumnos!$A:$B,2,FALSE),"")</f>
        <v/>
      </c>
    </row>
    <row r="408">
      <c r="A408" s="19" t="n"/>
      <c r="E408" s="21" t="n"/>
      <c r="H408" s="18">
        <f>IFERROR(VLOOKUP(C408,Alumnos!$A:$B,2,FALSE),"")</f>
        <v/>
      </c>
    </row>
    <row r="409">
      <c r="A409" s="19" t="n"/>
      <c r="E409" s="21" t="n"/>
      <c r="H409" s="18">
        <f>IFERROR(VLOOKUP(C409,Alumnos!$A:$B,2,FALSE),"")</f>
        <v/>
      </c>
    </row>
    <row r="410">
      <c r="A410" s="19" t="n"/>
      <c r="E410" s="21" t="n"/>
      <c r="H410" s="18">
        <f>IFERROR(VLOOKUP(C410,Alumnos!$A:$B,2,FALSE),"")</f>
        <v/>
      </c>
    </row>
    <row r="411">
      <c r="A411" s="19" t="n"/>
      <c r="E411" s="21" t="n"/>
      <c r="H411" s="18">
        <f>IFERROR(VLOOKUP(C411,Alumnos!$A:$B,2,FALSE),"")</f>
        <v/>
      </c>
    </row>
    <row r="412">
      <c r="A412" s="19" t="n"/>
      <c r="E412" s="21" t="n"/>
      <c r="H412" s="18">
        <f>IFERROR(VLOOKUP(C412,Alumnos!$A:$B,2,FALSE),"")</f>
        <v/>
      </c>
    </row>
    <row r="413">
      <c r="A413" s="19" t="n"/>
      <c r="E413" s="21" t="n"/>
      <c r="H413" s="18">
        <f>IFERROR(VLOOKUP(C413,Alumnos!$A:$B,2,FALSE),"")</f>
        <v/>
      </c>
    </row>
    <row r="414">
      <c r="A414" s="19" t="n"/>
      <c r="E414" s="21" t="n"/>
      <c r="H414" s="18">
        <f>IFERROR(VLOOKUP(C414,Alumnos!$A:$B,2,FALSE),"")</f>
        <v/>
      </c>
    </row>
    <row r="415">
      <c r="A415" s="19" t="n"/>
      <c r="E415" s="21" t="n"/>
      <c r="H415" s="18">
        <f>IFERROR(VLOOKUP(C415,Alumnos!$A:$B,2,FALSE),"")</f>
        <v/>
      </c>
    </row>
    <row r="416">
      <c r="A416" s="19" t="n"/>
      <c r="E416" s="21" t="n"/>
      <c r="H416" s="18">
        <f>IFERROR(VLOOKUP(C416,Alumnos!$A:$B,2,FALSE),"")</f>
        <v/>
      </c>
    </row>
    <row r="417">
      <c r="A417" s="19" t="n"/>
      <c r="E417" s="21" t="n"/>
      <c r="H417" s="18">
        <f>IFERROR(VLOOKUP(C417,Alumnos!$A:$B,2,FALSE),"")</f>
        <v/>
      </c>
    </row>
    <row r="418">
      <c r="A418" s="19" t="n"/>
      <c r="E418" s="21" t="n"/>
      <c r="H418" s="18">
        <f>IFERROR(VLOOKUP(C418,Alumnos!$A:$B,2,FALSE),"")</f>
        <v/>
      </c>
    </row>
    <row r="419">
      <c r="A419" s="19" t="n"/>
      <c r="E419" s="21" t="n"/>
      <c r="H419" s="18">
        <f>IFERROR(VLOOKUP(C419,Alumnos!$A:$B,2,FALSE),"")</f>
        <v/>
      </c>
    </row>
    <row r="420">
      <c r="A420" s="19" t="n"/>
      <c r="E420" s="21" t="n"/>
      <c r="H420" s="18">
        <f>IFERROR(VLOOKUP(C420,Alumnos!$A:$B,2,FALSE),"")</f>
        <v/>
      </c>
    </row>
    <row r="421">
      <c r="A421" s="19" t="n"/>
      <c r="E421" s="21" t="n"/>
      <c r="H421" s="18">
        <f>IFERROR(VLOOKUP(C421,Alumnos!$A:$B,2,FALSE),"")</f>
        <v/>
      </c>
    </row>
    <row r="422">
      <c r="A422" s="19" t="n"/>
      <c r="E422" s="21" t="n"/>
      <c r="H422" s="18">
        <f>IFERROR(VLOOKUP(C422,Alumnos!$A:$B,2,FALSE),"")</f>
        <v/>
      </c>
    </row>
    <row r="423">
      <c r="A423" s="19" t="n"/>
      <c r="E423" s="21" t="n"/>
      <c r="H423" s="18">
        <f>IFERROR(VLOOKUP(C423,Alumnos!$A:$B,2,FALSE),"")</f>
        <v/>
      </c>
    </row>
    <row r="424">
      <c r="A424" s="19" t="n"/>
      <c r="E424" s="21" t="n"/>
      <c r="H424" s="18">
        <f>IFERROR(VLOOKUP(C424,Alumnos!$A:$B,2,FALSE),"")</f>
        <v/>
      </c>
    </row>
    <row r="425">
      <c r="A425" s="19" t="n"/>
      <c r="E425" s="21" t="n"/>
      <c r="H425" s="18">
        <f>IFERROR(VLOOKUP(C425,Alumnos!$A:$B,2,FALSE),"")</f>
        <v/>
      </c>
    </row>
    <row r="426">
      <c r="A426" s="19" t="n"/>
      <c r="E426" s="21" t="n"/>
      <c r="H426" s="18">
        <f>IFERROR(VLOOKUP(C426,Alumnos!$A:$B,2,FALSE),"")</f>
        <v/>
      </c>
    </row>
    <row r="427">
      <c r="A427" s="19" t="n"/>
      <c r="E427" s="21" t="n"/>
      <c r="H427" s="18">
        <f>IFERROR(VLOOKUP(C427,Alumnos!$A:$B,2,FALSE),"")</f>
        <v/>
      </c>
    </row>
    <row r="428">
      <c r="A428" s="19" t="n"/>
      <c r="E428" s="21" t="n"/>
      <c r="H428" s="18">
        <f>IFERROR(VLOOKUP(C428,Alumnos!$A:$B,2,FALSE),"")</f>
        <v/>
      </c>
    </row>
    <row r="429">
      <c r="A429" s="19" t="n"/>
      <c r="E429" s="21" t="n"/>
      <c r="H429" s="18">
        <f>IFERROR(VLOOKUP(C429,Alumnos!$A:$B,2,FALSE),"")</f>
        <v/>
      </c>
    </row>
    <row r="430">
      <c r="A430" s="19" t="n"/>
      <c r="E430" s="21" t="n"/>
      <c r="H430" s="18">
        <f>IFERROR(VLOOKUP(C430,Alumnos!$A:$B,2,FALSE),"")</f>
        <v/>
      </c>
    </row>
    <row r="431">
      <c r="A431" s="19" t="n"/>
      <c r="E431" s="21" t="n"/>
      <c r="H431" s="18">
        <f>IFERROR(VLOOKUP(C431,Alumnos!$A:$B,2,FALSE),"")</f>
        <v/>
      </c>
    </row>
    <row r="432">
      <c r="A432" s="19" t="n"/>
      <c r="E432" s="21" t="n"/>
      <c r="H432" s="18">
        <f>IFERROR(VLOOKUP(C432,Alumnos!$A:$B,2,FALSE),"")</f>
        <v/>
      </c>
    </row>
    <row r="433">
      <c r="A433" s="19" t="n"/>
      <c r="E433" s="21" t="n"/>
      <c r="H433" s="18">
        <f>IFERROR(VLOOKUP(C433,Alumnos!$A:$B,2,FALSE),"")</f>
        <v/>
      </c>
    </row>
    <row r="434">
      <c r="A434" s="19" t="n"/>
      <c r="E434" s="21" t="n"/>
      <c r="H434" s="18">
        <f>IFERROR(VLOOKUP(C434,Alumnos!$A:$B,2,FALSE),"")</f>
        <v/>
      </c>
    </row>
    <row r="435">
      <c r="A435" s="19" t="n"/>
      <c r="E435" s="21" t="n"/>
      <c r="H435" s="18">
        <f>IFERROR(VLOOKUP(C435,Alumnos!$A:$B,2,FALSE),"")</f>
        <v/>
      </c>
    </row>
    <row r="436">
      <c r="A436" s="19" t="n"/>
      <c r="E436" s="21" t="n"/>
      <c r="H436" s="18">
        <f>IFERROR(VLOOKUP(C436,Alumnos!$A:$B,2,FALSE),"")</f>
        <v/>
      </c>
    </row>
    <row r="437">
      <c r="A437" s="19" t="n"/>
      <c r="E437" s="21" t="n"/>
      <c r="H437" s="18">
        <f>IFERROR(VLOOKUP(C437,Alumnos!$A:$B,2,FALSE),"")</f>
        <v/>
      </c>
    </row>
    <row r="438">
      <c r="A438" s="19" t="n"/>
      <c r="E438" s="21" t="n"/>
      <c r="H438" s="18">
        <f>IFERROR(VLOOKUP(C438,Alumnos!$A:$B,2,FALSE),"")</f>
        <v/>
      </c>
    </row>
    <row r="439">
      <c r="A439" s="19" t="n"/>
      <c r="E439" s="21" t="n"/>
      <c r="H439" s="18">
        <f>IFERROR(VLOOKUP(C439,Alumnos!$A:$B,2,FALSE),"")</f>
        <v/>
      </c>
    </row>
    <row r="440">
      <c r="A440" s="19" t="n"/>
      <c r="E440" s="21" t="n"/>
      <c r="H440" s="18">
        <f>IFERROR(VLOOKUP(C440,Alumnos!$A:$B,2,FALSE),"")</f>
        <v/>
      </c>
    </row>
    <row r="441">
      <c r="A441" s="19" t="n"/>
      <c r="E441" s="21" t="n"/>
      <c r="H441" s="18">
        <f>IFERROR(VLOOKUP(C441,Alumnos!$A:$B,2,FALSE),"")</f>
        <v/>
      </c>
    </row>
    <row r="442">
      <c r="A442" s="19" t="n"/>
      <c r="E442" s="21" t="n"/>
      <c r="H442" s="18">
        <f>IFERROR(VLOOKUP(C442,Alumnos!$A:$B,2,FALSE),"")</f>
        <v/>
      </c>
    </row>
    <row r="443">
      <c r="A443" s="19" t="n"/>
      <c r="E443" s="21" t="n"/>
      <c r="H443" s="18">
        <f>IFERROR(VLOOKUP(C443,Alumnos!$A:$B,2,FALSE),"")</f>
        <v/>
      </c>
    </row>
    <row r="444">
      <c r="A444" s="19" t="n"/>
      <c r="E444" s="21" t="n"/>
      <c r="H444" s="18">
        <f>IFERROR(VLOOKUP(C444,Alumnos!$A:$B,2,FALSE),"")</f>
        <v/>
      </c>
    </row>
    <row r="445">
      <c r="A445" s="19" t="n"/>
      <c r="E445" s="21" t="n"/>
      <c r="H445" s="18">
        <f>IFERROR(VLOOKUP(C445,Alumnos!$A:$B,2,FALSE),"")</f>
        <v/>
      </c>
    </row>
    <row r="446">
      <c r="A446" s="19" t="n"/>
      <c r="E446" s="21" t="n"/>
      <c r="H446" s="18">
        <f>IFERROR(VLOOKUP(C446,Alumnos!$A:$B,2,FALSE),"")</f>
        <v/>
      </c>
    </row>
    <row r="447">
      <c r="A447" s="19" t="n"/>
      <c r="E447" s="21" t="n"/>
      <c r="H447" s="18">
        <f>IFERROR(VLOOKUP(C447,Alumnos!$A:$B,2,FALSE),"")</f>
        <v/>
      </c>
    </row>
    <row r="448">
      <c r="A448" s="19" t="n"/>
      <c r="E448" s="21" t="n"/>
      <c r="H448" s="18">
        <f>IFERROR(VLOOKUP(C448,Alumnos!$A:$B,2,FALSE),"")</f>
        <v/>
      </c>
    </row>
    <row r="449">
      <c r="A449" s="19" t="n"/>
      <c r="E449" s="21" t="n"/>
      <c r="H449" s="18">
        <f>IFERROR(VLOOKUP(C449,Alumnos!$A:$B,2,FALSE),"")</f>
        <v/>
      </c>
    </row>
    <row r="450">
      <c r="A450" s="19" t="n"/>
      <c r="E450" s="21" t="n"/>
      <c r="H450" s="18">
        <f>IFERROR(VLOOKUP(C450,Alumnos!$A:$B,2,FALSE),"")</f>
        <v/>
      </c>
    </row>
    <row r="451">
      <c r="A451" s="19" t="n"/>
      <c r="E451" s="21" t="n"/>
      <c r="H451" s="18">
        <f>IFERROR(VLOOKUP(C451,Alumnos!$A:$B,2,FALSE),"")</f>
        <v/>
      </c>
    </row>
    <row r="452">
      <c r="A452" s="19" t="n"/>
      <c r="E452" s="21" t="n"/>
      <c r="H452" s="18">
        <f>IFERROR(VLOOKUP(C452,Alumnos!$A:$B,2,FALSE),"")</f>
        <v/>
      </c>
    </row>
    <row r="453">
      <c r="A453" s="19" t="n"/>
      <c r="E453" s="21" t="n"/>
      <c r="H453" s="18">
        <f>IFERROR(VLOOKUP(C453,Alumnos!$A:$B,2,FALSE),"")</f>
        <v/>
      </c>
    </row>
    <row r="454">
      <c r="A454" s="19" t="n"/>
      <c r="E454" s="21" t="n"/>
      <c r="H454" s="18">
        <f>IFERROR(VLOOKUP(C454,Alumnos!$A:$B,2,FALSE),"")</f>
        <v/>
      </c>
    </row>
    <row r="455">
      <c r="A455" s="19" t="n"/>
      <c r="E455" s="21" t="n"/>
      <c r="H455" s="18">
        <f>IFERROR(VLOOKUP(C455,Alumnos!$A:$B,2,FALSE),"")</f>
        <v/>
      </c>
    </row>
    <row r="456">
      <c r="A456" s="19" t="n"/>
      <c r="E456" s="21" t="n"/>
      <c r="H456" s="18">
        <f>IFERROR(VLOOKUP(C456,Alumnos!$A:$B,2,FALSE),"")</f>
        <v/>
      </c>
    </row>
    <row r="457">
      <c r="A457" s="19" t="n"/>
      <c r="E457" s="21" t="n"/>
      <c r="H457" s="18">
        <f>IFERROR(VLOOKUP(C457,Alumnos!$A:$B,2,FALSE),"")</f>
        <v/>
      </c>
    </row>
    <row r="458">
      <c r="A458" s="19" t="n"/>
      <c r="E458" s="21" t="n"/>
      <c r="H458" s="18">
        <f>IFERROR(VLOOKUP(C458,Alumnos!$A:$B,2,FALSE),"")</f>
        <v/>
      </c>
    </row>
    <row r="459">
      <c r="A459" s="19" t="n"/>
      <c r="E459" s="21" t="n"/>
      <c r="H459" s="18">
        <f>IFERROR(VLOOKUP(C459,Alumnos!$A:$B,2,FALSE),"")</f>
        <v/>
      </c>
    </row>
    <row r="460">
      <c r="A460" s="19" t="n"/>
      <c r="E460" s="21" t="n"/>
      <c r="H460" s="18">
        <f>IFERROR(VLOOKUP(C460,Alumnos!$A:$B,2,FALSE),"")</f>
        <v/>
      </c>
    </row>
    <row r="461">
      <c r="A461" s="19" t="n"/>
      <c r="E461" s="21" t="n"/>
      <c r="H461" s="18">
        <f>IFERROR(VLOOKUP(C461,Alumnos!$A:$B,2,FALSE),"")</f>
        <v/>
      </c>
    </row>
    <row r="462">
      <c r="A462" s="19" t="n"/>
      <c r="E462" s="21" t="n"/>
      <c r="H462" s="18">
        <f>IFERROR(VLOOKUP(C462,Alumnos!$A:$B,2,FALSE),"")</f>
        <v/>
      </c>
    </row>
    <row r="463">
      <c r="A463" s="19" t="n"/>
      <c r="E463" s="21" t="n"/>
      <c r="H463" s="18">
        <f>IFERROR(VLOOKUP(C463,Alumnos!$A:$B,2,FALSE),"")</f>
        <v/>
      </c>
    </row>
    <row r="464">
      <c r="A464" s="19" t="n"/>
      <c r="E464" s="21" t="n"/>
      <c r="H464" s="18">
        <f>IFERROR(VLOOKUP(C464,Alumnos!$A:$B,2,FALSE),"")</f>
        <v/>
      </c>
    </row>
    <row r="465">
      <c r="A465" s="19" t="n"/>
      <c r="E465" s="21" t="n"/>
      <c r="H465" s="18">
        <f>IFERROR(VLOOKUP(C465,Alumnos!$A:$B,2,FALSE),"")</f>
        <v/>
      </c>
    </row>
    <row r="466">
      <c r="A466" s="19" t="n"/>
      <c r="E466" s="21" t="n"/>
      <c r="H466" s="18">
        <f>IFERROR(VLOOKUP(C466,Alumnos!$A:$B,2,FALSE),"")</f>
        <v/>
      </c>
    </row>
    <row r="467">
      <c r="A467" s="19" t="n"/>
      <c r="E467" s="21" t="n"/>
      <c r="H467" s="18">
        <f>IFERROR(VLOOKUP(C467,Alumnos!$A:$B,2,FALSE),"")</f>
        <v/>
      </c>
    </row>
    <row r="468">
      <c r="A468" s="19" t="n"/>
      <c r="E468" s="21" t="n"/>
      <c r="H468" s="18">
        <f>IFERROR(VLOOKUP(C468,Alumnos!$A:$B,2,FALSE),"")</f>
        <v/>
      </c>
    </row>
    <row r="469">
      <c r="A469" s="19" t="n"/>
      <c r="E469" s="21" t="n"/>
      <c r="H469" s="18">
        <f>IFERROR(VLOOKUP(C469,Alumnos!$A:$B,2,FALSE),"")</f>
        <v/>
      </c>
    </row>
    <row r="470">
      <c r="A470" s="19" t="n"/>
      <c r="E470" s="21" t="n"/>
      <c r="H470" s="18">
        <f>IFERROR(VLOOKUP(C470,Alumnos!$A:$B,2,FALSE),"")</f>
        <v/>
      </c>
    </row>
    <row r="471">
      <c r="A471" s="19" t="n"/>
      <c r="E471" s="21" t="n"/>
      <c r="H471" s="18">
        <f>IFERROR(VLOOKUP(C471,Alumnos!$A:$B,2,FALSE),"")</f>
        <v/>
      </c>
    </row>
    <row r="472">
      <c r="A472" s="19" t="n"/>
      <c r="E472" s="21" t="n"/>
      <c r="H472" s="18">
        <f>IFERROR(VLOOKUP(C472,Alumnos!$A:$B,2,FALSE),"")</f>
        <v/>
      </c>
    </row>
    <row r="473">
      <c r="A473" s="19" t="n"/>
      <c r="E473" s="21" t="n"/>
      <c r="H473" s="18">
        <f>IFERROR(VLOOKUP(C473,Alumnos!$A:$B,2,FALSE),"")</f>
        <v/>
      </c>
    </row>
    <row r="474">
      <c r="A474" s="19" t="n"/>
      <c r="E474" s="21" t="n"/>
      <c r="H474" s="18">
        <f>IFERROR(VLOOKUP(C474,Alumnos!$A:$B,2,FALSE),"")</f>
        <v/>
      </c>
    </row>
    <row r="475">
      <c r="A475" s="19" t="n"/>
      <c r="E475" s="21" t="n"/>
      <c r="H475" s="18">
        <f>IFERROR(VLOOKUP(C475,Alumnos!$A:$B,2,FALSE),"")</f>
        <v/>
      </c>
    </row>
    <row r="476">
      <c r="A476" s="19" t="n"/>
      <c r="E476" s="21" t="n"/>
      <c r="H476" s="18">
        <f>IFERROR(VLOOKUP(C476,Alumnos!$A:$B,2,FALSE),"")</f>
        <v/>
      </c>
    </row>
    <row r="477">
      <c r="A477" s="19" t="n"/>
      <c r="E477" s="21" t="n"/>
      <c r="H477" s="18">
        <f>IFERROR(VLOOKUP(C477,Alumnos!$A:$B,2,FALSE),"")</f>
        <v/>
      </c>
    </row>
    <row r="478">
      <c r="A478" s="19" t="n"/>
      <c r="E478" s="21" t="n"/>
      <c r="H478" s="18">
        <f>IFERROR(VLOOKUP(C478,Alumnos!$A:$B,2,FALSE),"")</f>
        <v/>
      </c>
    </row>
    <row r="479">
      <c r="A479" s="19" t="n"/>
      <c r="E479" s="21" t="n"/>
      <c r="H479" s="18">
        <f>IFERROR(VLOOKUP(C479,Alumnos!$A:$B,2,FALSE),"")</f>
        <v/>
      </c>
    </row>
    <row r="480">
      <c r="A480" s="19" t="n"/>
      <c r="E480" s="21" t="n"/>
      <c r="H480" s="18">
        <f>IFERROR(VLOOKUP(C480,Alumnos!$A:$B,2,FALSE),"")</f>
        <v/>
      </c>
    </row>
    <row r="481">
      <c r="A481" s="19" t="n"/>
      <c r="E481" s="21" t="n"/>
      <c r="H481" s="18">
        <f>IFERROR(VLOOKUP(C481,Alumnos!$A:$B,2,FALSE),"")</f>
        <v/>
      </c>
    </row>
    <row r="482">
      <c r="A482" s="19" t="n"/>
      <c r="E482" s="21" t="n"/>
      <c r="H482" s="18">
        <f>IFERROR(VLOOKUP(C482,Alumnos!$A:$B,2,FALSE),"")</f>
        <v/>
      </c>
    </row>
    <row r="483">
      <c r="A483" s="19" t="n"/>
      <c r="E483" s="21" t="n"/>
      <c r="H483" s="18">
        <f>IFERROR(VLOOKUP(C483,Alumnos!$A:$B,2,FALSE),"")</f>
        <v/>
      </c>
    </row>
    <row r="484">
      <c r="A484" s="19" t="n"/>
      <c r="E484" s="21" t="n"/>
      <c r="H484" s="18">
        <f>IFERROR(VLOOKUP(C484,Alumnos!$A:$B,2,FALSE),"")</f>
        <v/>
      </c>
    </row>
    <row r="485">
      <c r="A485" s="19" t="n"/>
      <c r="E485" s="21" t="n"/>
      <c r="H485" s="18">
        <f>IFERROR(VLOOKUP(C485,Alumnos!$A:$B,2,FALSE),"")</f>
        <v/>
      </c>
    </row>
    <row r="486">
      <c r="A486" s="19" t="n"/>
      <c r="E486" s="21" t="n"/>
      <c r="H486" s="18">
        <f>IFERROR(VLOOKUP(C486,Alumnos!$A:$B,2,FALSE),"")</f>
        <v/>
      </c>
    </row>
    <row r="487">
      <c r="A487" s="19" t="n"/>
      <c r="E487" s="21" t="n"/>
      <c r="H487" s="18">
        <f>IFERROR(VLOOKUP(C487,Alumnos!$A:$B,2,FALSE),"")</f>
        <v/>
      </c>
    </row>
    <row r="488">
      <c r="A488" s="19" t="n"/>
      <c r="E488" s="21" t="n"/>
      <c r="H488" s="18">
        <f>IFERROR(VLOOKUP(C488,Alumnos!$A:$B,2,FALSE),"")</f>
        <v/>
      </c>
    </row>
    <row r="489">
      <c r="A489" s="19" t="n"/>
      <c r="E489" s="21" t="n"/>
      <c r="H489" s="18">
        <f>IFERROR(VLOOKUP(C489,Alumnos!$A:$B,2,FALSE),"")</f>
        <v/>
      </c>
    </row>
    <row r="490">
      <c r="A490" s="19" t="n"/>
      <c r="E490" s="21" t="n"/>
      <c r="H490" s="18">
        <f>IFERROR(VLOOKUP(C490,Alumnos!$A:$B,2,FALSE),"")</f>
        <v/>
      </c>
    </row>
    <row r="491">
      <c r="A491" s="19" t="n"/>
      <c r="E491" s="21" t="n"/>
      <c r="H491" s="18">
        <f>IFERROR(VLOOKUP(C491,Alumnos!$A:$B,2,FALSE),"")</f>
        <v/>
      </c>
    </row>
    <row r="492">
      <c r="A492" s="19" t="n"/>
      <c r="E492" s="21" t="n"/>
      <c r="H492" s="18">
        <f>IFERROR(VLOOKUP(C492,Alumnos!$A:$B,2,FALSE),"")</f>
        <v/>
      </c>
    </row>
    <row r="493">
      <c r="A493" s="19" t="n"/>
      <c r="E493" s="21" t="n"/>
      <c r="H493" s="18">
        <f>IFERROR(VLOOKUP(C493,Alumnos!$A:$B,2,FALSE),"")</f>
        <v/>
      </c>
    </row>
    <row r="494">
      <c r="A494" s="19" t="n"/>
      <c r="E494" s="21" t="n"/>
      <c r="H494" s="18">
        <f>IFERROR(VLOOKUP(C494,Alumnos!$A:$B,2,FALSE),"")</f>
        <v/>
      </c>
    </row>
    <row r="495">
      <c r="A495" s="19" t="n"/>
      <c r="E495" s="21" t="n"/>
      <c r="H495" s="18">
        <f>IFERROR(VLOOKUP(C495,Alumnos!$A:$B,2,FALSE),"")</f>
        <v/>
      </c>
    </row>
    <row r="496">
      <c r="A496" s="19" t="n"/>
      <c r="E496" s="21" t="n"/>
      <c r="H496" s="18">
        <f>IFERROR(VLOOKUP(C496,Alumnos!$A:$B,2,FALSE),"")</f>
        <v/>
      </c>
    </row>
    <row r="497">
      <c r="A497" s="19" t="n"/>
      <c r="E497" s="21" t="n"/>
      <c r="H497" s="18">
        <f>IFERROR(VLOOKUP(C497,Alumnos!$A:$B,2,FALSE),"")</f>
        <v/>
      </c>
    </row>
    <row r="498">
      <c r="A498" s="19" t="n"/>
      <c r="E498" s="21" t="n"/>
      <c r="H498" s="18">
        <f>IFERROR(VLOOKUP(C498,Alumnos!$A:$B,2,FALSE),"")</f>
        <v/>
      </c>
    </row>
    <row r="499">
      <c r="A499" s="19" t="n"/>
      <c r="E499" s="21" t="n"/>
      <c r="H499" s="18">
        <f>IFERROR(VLOOKUP(C499,Alumnos!$A:$B,2,FALSE),"")</f>
        <v/>
      </c>
    </row>
    <row r="500">
      <c r="A500" s="19" t="n"/>
      <c r="E500" s="21" t="n"/>
      <c r="H500" s="18">
        <f>IFERROR(VLOOKUP(C500,Alumnos!$A:$B,2,FALSE),"")</f>
        <v/>
      </c>
    </row>
    <row r="501">
      <c r="A501" s="19" t="n"/>
      <c r="E501" s="21" t="n"/>
      <c r="H501" s="18">
        <f>IFERROR(VLOOKUP(C501,Alumnos!$A:$B,2,FALSE),"")</f>
        <v/>
      </c>
    </row>
  </sheetData>
  <dataValidations count="2">
    <dataValidation sqref="F2:F501" showDropDown="0" showInputMessage="0" showErrorMessage="0" allowBlank="1" type="list">
      <formula1>Listas!$F$2:$F$8</formula1>
    </dataValidation>
    <dataValidation sqref="G2:G5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A2A6"/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2" customWidth="1" min="4" max="4"/>
    <col width="9" customWidth="1" min="5" max="5"/>
    <col width="16" customWidth="1" min="6" max="6"/>
    <col width="18" customWidth="1" min="7" max="7"/>
    <col width="26" customWidth="1" min="8" max="8"/>
    <col width="8" customWidth="1" min="9" max="9"/>
    <col width="18" customWidth="1" min="10" max="10"/>
    <col width="12" customWidth="1" min="11" max="11"/>
    <col width="30" customWidth="1" min="12" max="12"/>
    <col width="28" customWidth="1" min="13" max="13"/>
    <col width="12" customWidth="1" min="14" max="14"/>
  </cols>
  <sheetData>
    <row r="1" ht="32" customHeight="1">
      <c r="A1" s="17" t="inlineStr">
        <is>
          <t>Fecha</t>
        </is>
      </c>
      <c r="B1" s="17" t="inlineStr">
        <is>
          <t>Hora inicio</t>
        </is>
      </c>
      <c r="C1" s="17" t="inlineStr">
        <is>
          <t>ID alumno</t>
        </is>
      </c>
      <c r="D1" s="16" t="inlineStr">
        <is>
          <t>Alumno</t>
        </is>
      </c>
      <c r="E1" s="17" t="inlineStr">
        <is>
          <t>ID venta</t>
        </is>
      </c>
      <c r="F1" s="17" t="inlineStr">
        <is>
          <t>Tutor</t>
        </is>
      </c>
      <c r="G1" s="17" t="inlineStr">
        <is>
          <t>Curso</t>
        </is>
      </c>
      <c r="H1" s="17" t="inlineStr">
        <is>
          <t>Tema</t>
        </is>
      </c>
      <c r="I1" s="17" t="inlineStr">
        <is>
          <t>Horas</t>
        </is>
      </c>
      <c r="J1" s="17" t="inlineStr">
        <is>
          <t>Asistencia</t>
        </is>
      </c>
      <c r="K1" s="17" t="inlineStr">
        <is>
          <t>Modalidad</t>
        </is>
      </c>
      <c r="L1" s="17" t="inlineStr">
        <is>
          <t>Link grabación (Drive)</t>
        </is>
      </c>
      <c r="M1" s="17" t="inlineStr">
        <is>
          <t>Tarea / próximo paso</t>
        </is>
      </c>
      <c r="N1" s="16" t="inlineStr">
        <is>
          <t>Pago tutor (S/)</t>
        </is>
      </c>
    </row>
    <row r="2">
      <c r="A2" s="19" t="n"/>
      <c r="B2" s="23" t="n"/>
      <c r="D2" s="18">
        <f>IFERROR(VLOOKUP(C2,Alumnos!$A:$B,2,FALSE),"")</f>
        <v/>
      </c>
      <c r="N2" s="20">
        <f>IF(OR(F2="",I2="",J2="Reprogramada"),"",I2*IFERROR(VLOOKUP(F2,Tutores!$A:$F,6,FALSE),0))</f>
        <v/>
      </c>
    </row>
    <row r="3">
      <c r="A3" s="19" t="n"/>
      <c r="B3" s="23" t="n"/>
      <c r="D3" s="18">
        <f>IFERROR(VLOOKUP(C3,Alumnos!$A:$B,2,FALSE),"")</f>
        <v/>
      </c>
      <c r="N3" s="20">
        <f>IF(OR(F3="",I3="",J3="Reprogramada"),"",I3*IFERROR(VLOOKUP(F3,Tutores!$A:$F,6,FALSE),0))</f>
        <v/>
      </c>
    </row>
    <row r="4">
      <c r="A4" s="19" t="n"/>
      <c r="B4" s="23" t="n"/>
      <c r="D4" s="18">
        <f>IFERROR(VLOOKUP(C4,Alumnos!$A:$B,2,FALSE),"")</f>
        <v/>
      </c>
      <c r="N4" s="20">
        <f>IF(OR(F4="",I4="",J4="Reprogramada"),"",I4*IFERROR(VLOOKUP(F4,Tutores!$A:$F,6,FALSE),0))</f>
        <v/>
      </c>
    </row>
    <row r="5">
      <c r="A5" s="19" t="n"/>
      <c r="B5" s="23" t="n"/>
      <c r="D5" s="18">
        <f>IFERROR(VLOOKUP(C5,Alumnos!$A:$B,2,FALSE),"")</f>
        <v/>
      </c>
      <c r="N5" s="20">
        <f>IF(OR(F5="",I5="",J5="Reprogramada"),"",I5*IFERROR(VLOOKUP(F5,Tutores!$A:$F,6,FALSE),0))</f>
        <v/>
      </c>
    </row>
    <row r="6">
      <c r="A6" s="19" t="n"/>
      <c r="B6" s="23" t="n"/>
      <c r="D6" s="18">
        <f>IFERROR(VLOOKUP(C6,Alumnos!$A:$B,2,FALSE),"")</f>
        <v/>
      </c>
      <c r="N6" s="20">
        <f>IF(OR(F6="",I6="",J6="Reprogramada"),"",I6*IFERROR(VLOOKUP(F6,Tutores!$A:$F,6,FALSE),0))</f>
        <v/>
      </c>
    </row>
    <row r="7">
      <c r="A7" s="19" t="n"/>
      <c r="B7" s="23" t="n"/>
      <c r="D7" s="18">
        <f>IFERROR(VLOOKUP(C7,Alumnos!$A:$B,2,FALSE),"")</f>
        <v/>
      </c>
      <c r="N7" s="20">
        <f>IF(OR(F7="",I7="",J7="Reprogramada"),"",I7*IFERROR(VLOOKUP(F7,Tutores!$A:$F,6,FALSE),0))</f>
        <v/>
      </c>
    </row>
    <row r="8">
      <c r="A8" s="19" t="n"/>
      <c r="B8" s="23" t="n"/>
      <c r="D8" s="18">
        <f>IFERROR(VLOOKUP(C8,Alumnos!$A:$B,2,FALSE),"")</f>
        <v/>
      </c>
      <c r="N8" s="20">
        <f>IF(OR(F8="",I8="",J8="Reprogramada"),"",I8*IFERROR(VLOOKUP(F8,Tutores!$A:$F,6,FALSE),0))</f>
        <v/>
      </c>
    </row>
    <row r="9">
      <c r="A9" s="19" t="n"/>
      <c r="B9" s="23" t="n"/>
      <c r="D9" s="18">
        <f>IFERROR(VLOOKUP(C9,Alumnos!$A:$B,2,FALSE),"")</f>
        <v/>
      </c>
      <c r="N9" s="20">
        <f>IF(OR(F9="",I9="",J9="Reprogramada"),"",I9*IFERROR(VLOOKUP(F9,Tutores!$A:$F,6,FALSE),0))</f>
        <v/>
      </c>
    </row>
    <row r="10">
      <c r="A10" s="19" t="n"/>
      <c r="B10" s="23" t="n"/>
      <c r="D10" s="18">
        <f>IFERROR(VLOOKUP(C10,Alumnos!$A:$B,2,FALSE),"")</f>
        <v/>
      </c>
      <c r="N10" s="20">
        <f>IF(OR(F10="",I10="",J10="Reprogramada"),"",I10*IFERROR(VLOOKUP(F10,Tutores!$A:$F,6,FALSE),0))</f>
        <v/>
      </c>
    </row>
    <row r="11">
      <c r="A11" s="19" t="n"/>
      <c r="B11" s="23" t="n"/>
      <c r="D11" s="18">
        <f>IFERROR(VLOOKUP(C11,Alumnos!$A:$B,2,FALSE),"")</f>
        <v/>
      </c>
      <c r="N11" s="20">
        <f>IF(OR(F11="",I11="",J11="Reprogramada"),"",I11*IFERROR(VLOOKUP(F11,Tutores!$A:$F,6,FALSE),0))</f>
        <v/>
      </c>
    </row>
    <row r="12">
      <c r="A12" s="19" t="n"/>
      <c r="B12" s="23" t="n"/>
      <c r="D12" s="18">
        <f>IFERROR(VLOOKUP(C12,Alumnos!$A:$B,2,FALSE),"")</f>
        <v/>
      </c>
      <c r="N12" s="20">
        <f>IF(OR(F12="",I12="",J12="Reprogramada"),"",I12*IFERROR(VLOOKUP(F12,Tutores!$A:$F,6,FALSE),0))</f>
        <v/>
      </c>
    </row>
    <row r="13">
      <c r="A13" s="19" t="n"/>
      <c r="B13" s="23" t="n"/>
      <c r="D13" s="18">
        <f>IFERROR(VLOOKUP(C13,Alumnos!$A:$B,2,FALSE),"")</f>
        <v/>
      </c>
      <c r="N13" s="20">
        <f>IF(OR(F13="",I13="",J13="Reprogramada"),"",I13*IFERROR(VLOOKUP(F13,Tutores!$A:$F,6,FALSE),0))</f>
        <v/>
      </c>
    </row>
    <row r="14">
      <c r="A14" s="19" t="n"/>
      <c r="B14" s="23" t="n"/>
      <c r="D14" s="18">
        <f>IFERROR(VLOOKUP(C14,Alumnos!$A:$B,2,FALSE),"")</f>
        <v/>
      </c>
      <c r="N14" s="20">
        <f>IF(OR(F14="",I14="",J14="Reprogramada"),"",I14*IFERROR(VLOOKUP(F14,Tutores!$A:$F,6,FALSE),0))</f>
        <v/>
      </c>
    </row>
    <row r="15">
      <c r="A15" s="19" t="n"/>
      <c r="B15" s="23" t="n"/>
      <c r="D15" s="18">
        <f>IFERROR(VLOOKUP(C15,Alumnos!$A:$B,2,FALSE),"")</f>
        <v/>
      </c>
      <c r="N15" s="20">
        <f>IF(OR(F15="",I15="",J15="Reprogramada"),"",I15*IFERROR(VLOOKUP(F15,Tutores!$A:$F,6,FALSE),0))</f>
        <v/>
      </c>
    </row>
    <row r="16">
      <c r="A16" s="19" t="n"/>
      <c r="B16" s="23" t="n"/>
      <c r="D16" s="18">
        <f>IFERROR(VLOOKUP(C16,Alumnos!$A:$B,2,FALSE),"")</f>
        <v/>
      </c>
      <c r="N16" s="20">
        <f>IF(OR(F16="",I16="",J16="Reprogramada"),"",I16*IFERROR(VLOOKUP(F16,Tutores!$A:$F,6,FALSE),0))</f>
        <v/>
      </c>
    </row>
    <row r="17">
      <c r="A17" s="19" t="n"/>
      <c r="B17" s="23" t="n"/>
      <c r="D17" s="18">
        <f>IFERROR(VLOOKUP(C17,Alumnos!$A:$B,2,FALSE),"")</f>
        <v/>
      </c>
      <c r="N17" s="20">
        <f>IF(OR(F17="",I17="",J17="Reprogramada"),"",I17*IFERROR(VLOOKUP(F17,Tutores!$A:$F,6,FALSE),0))</f>
        <v/>
      </c>
    </row>
    <row r="18">
      <c r="A18" s="19" t="n"/>
      <c r="B18" s="23" t="n"/>
      <c r="D18" s="18">
        <f>IFERROR(VLOOKUP(C18,Alumnos!$A:$B,2,FALSE),"")</f>
        <v/>
      </c>
      <c r="N18" s="20">
        <f>IF(OR(F18="",I18="",J18="Reprogramada"),"",I18*IFERROR(VLOOKUP(F18,Tutores!$A:$F,6,FALSE),0))</f>
        <v/>
      </c>
    </row>
    <row r="19">
      <c r="A19" s="19" t="n"/>
      <c r="B19" s="23" t="n"/>
      <c r="D19" s="18">
        <f>IFERROR(VLOOKUP(C19,Alumnos!$A:$B,2,FALSE),"")</f>
        <v/>
      </c>
      <c r="N19" s="20">
        <f>IF(OR(F19="",I19="",J19="Reprogramada"),"",I19*IFERROR(VLOOKUP(F19,Tutores!$A:$F,6,FALSE),0))</f>
        <v/>
      </c>
    </row>
    <row r="20">
      <c r="A20" s="19" t="n"/>
      <c r="B20" s="23" t="n"/>
      <c r="D20" s="18">
        <f>IFERROR(VLOOKUP(C20,Alumnos!$A:$B,2,FALSE),"")</f>
        <v/>
      </c>
      <c r="N20" s="20">
        <f>IF(OR(F20="",I20="",J20="Reprogramada"),"",I20*IFERROR(VLOOKUP(F20,Tutores!$A:$F,6,FALSE),0))</f>
        <v/>
      </c>
    </row>
    <row r="21">
      <c r="A21" s="19" t="n"/>
      <c r="B21" s="23" t="n"/>
      <c r="D21" s="18">
        <f>IFERROR(VLOOKUP(C21,Alumnos!$A:$B,2,FALSE),"")</f>
        <v/>
      </c>
      <c r="N21" s="20">
        <f>IF(OR(F21="",I21="",J21="Reprogramada"),"",I21*IFERROR(VLOOKUP(F21,Tutores!$A:$F,6,FALSE),0))</f>
        <v/>
      </c>
    </row>
    <row r="22">
      <c r="A22" s="19" t="n"/>
      <c r="B22" s="23" t="n"/>
      <c r="D22" s="18">
        <f>IFERROR(VLOOKUP(C22,Alumnos!$A:$B,2,FALSE),"")</f>
        <v/>
      </c>
      <c r="N22" s="20">
        <f>IF(OR(F22="",I22="",J22="Reprogramada"),"",I22*IFERROR(VLOOKUP(F22,Tutores!$A:$F,6,FALSE),0))</f>
        <v/>
      </c>
    </row>
    <row r="23">
      <c r="A23" s="19" t="n"/>
      <c r="B23" s="23" t="n"/>
      <c r="D23" s="18">
        <f>IFERROR(VLOOKUP(C23,Alumnos!$A:$B,2,FALSE),"")</f>
        <v/>
      </c>
      <c r="N23" s="20">
        <f>IF(OR(F23="",I23="",J23="Reprogramada"),"",I23*IFERROR(VLOOKUP(F23,Tutores!$A:$F,6,FALSE),0))</f>
        <v/>
      </c>
    </row>
    <row r="24">
      <c r="A24" s="19" t="n"/>
      <c r="B24" s="23" t="n"/>
      <c r="D24" s="18">
        <f>IFERROR(VLOOKUP(C24,Alumnos!$A:$B,2,FALSE),"")</f>
        <v/>
      </c>
      <c r="N24" s="20">
        <f>IF(OR(F24="",I24="",J24="Reprogramada"),"",I24*IFERROR(VLOOKUP(F24,Tutores!$A:$F,6,FALSE),0))</f>
        <v/>
      </c>
    </row>
    <row r="25">
      <c r="A25" s="19" t="n"/>
      <c r="B25" s="23" t="n"/>
      <c r="D25" s="18">
        <f>IFERROR(VLOOKUP(C25,Alumnos!$A:$B,2,FALSE),"")</f>
        <v/>
      </c>
      <c r="N25" s="20">
        <f>IF(OR(F25="",I25="",J25="Reprogramada"),"",I25*IFERROR(VLOOKUP(F25,Tutores!$A:$F,6,FALSE),0))</f>
        <v/>
      </c>
    </row>
    <row r="26">
      <c r="A26" s="19" t="n"/>
      <c r="B26" s="23" t="n"/>
      <c r="D26" s="18">
        <f>IFERROR(VLOOKUP(C26,Alumnos!$A:$B,2,FALSE),"")</f>
        <v/>
      </c>
      <c r="N26" s="20">
        <f>IF(OR(F26="",I26="",J26="Reprogramada"),"",I26*IFERROR(VLOOKUP(F26,Tutores!$A:$F,6,FALSE),0))</f>
        <v/>
      </c>
    </row>
    <row r="27">
      <c r="A27" s="19" t="n"/>
      <c r="B27" s="23" t="n"/>
      <c r="D27" s="18">
        <f>IFERROR(VLOOKUP(C27,Alumnos!$A:$B,2,FALSE),"")</f>
        <v/>
      </c>
      <c r="N27" s="20">
        <f>IF(OR(F27="",I27="",J27="Reprogramada"),"",I27*IFERROR(VLOOKUP(F27,Tutores!$A:$F,6,FALSE),0))</f>
        <v/>
      </c>
    </row>
    <row r="28">
      <c r="A28" s="19" t="n"/>
      <c r="B28" s="23" t="n"/>
      <c r="D28" s="18">
        <f>IFERROR(VLOOKUP(C28,Alumnos!$A:$B,2,FALSE),"")</f>
        <v/>
      </c>
      <c r="N28" s="20">
        <f>IF(OR(F28="",I28="",J28="Reprogramada"),"",I28*IFERROR(VLOOKUP(F28,Tutores!$A:$F,6,FALSE),0))</f>
        <v/>
      </c>
    </row>
    <row r="29">
      <c r="A29" s="19" t="n"/>
      <c r="B29" s="23" t="n"/>
      <c r="D29" s="18">
        <f>IFERROR(VLOOKUP(C29,Alumnos!$A:$B,2,FALSE),"")</f>
        <v/>
      </c>
      <c r="N29" s="20">
        <f>IF(OR(F29="",I29="",J29="Reprogramada"),"",I29*IFERROR(VLOOKUP(F29,Tutores!$A:$F,6,FALSE),0))</f>
        <v/>
      </c>
    </row>
    <row r="30">
      <c r="A30" s="19" t="n"/>
      <c r="B30" s="23" t="n"/>
      <c r="D30" s="18">
        <f>IFERROR(VLOOKUP(C30,Alumnos!$A:$B,2,FALSE),"")</f>
        <v/>
      </c>
      <c r="N30" s="20">
        <f>IF(OR(F30="",I30="",J30="Reprogramada"),"",I30*IFERROR(VLOOKUP(F30,Tutores!$A:$F,6,FALSE),0))</f>
        <v/>
      </c>
    </row>
    <row r="31">
      <c r="A31" s="19" t="n"/>
      <c r="B31" s="23" t="n"/>
      <c r="D31" s="18">
        <f>IFERROR(VLOOKUP(C31,Alumnos!$A:$B,2,FALSE),"")</f>
        <v/>
      </c>
      <c r="N31" s="20">
        <f>IF(OR(F31="",I31="",J31="Reprogramada"),"",I31*IFERROR(VLOOKUP(F31,Tutores!$A:$F,6,FALSE),0))</f>
        <v/>
      </c>
    </row>
    <row r="32">
      <c r="A32" s="19" t="n"/>
      <c r="B32" s="23" t="n"/>
      <c r="D32" s="18">
        <f>IFERROR(VLOOKUP(C32,Alumnos!$A:$B,2,FALSE),"")</f>
        <v/>
      </c>
      <c r="N32" s="20">
        <f>IF(OR(F32="",I32="",J32="Reprogramada"),"",I32*IFERROR(VLOOKUP(F32,Tutores!$A:$F,6,FALSE),0))</f>
        <v/>
      </c>
    </row>
    <row r="33">
      <c r="A33" s="19" t="n"/>
      <c r="B33" s="23" t="n"/>
      <c r="D33" s="18">
        <f>IFERROR(VLOOKUP(C33,Alumnos!$A:$B,2,FALSE),"")</f>
        <v/>
      </c>
      <c r="N33" s="20">
        <f>IF(OR(F33="",I33="",J33="Reprogramada"),"",I33*IFERROR(VLOOKUP(F33,Tutores!$A:$F,6,FALSE),0))</f>
        <v/>
      </c>
    </row>
    <row r="34">
      <c r="A34" s="19" t="n"/>
      <c r="B34" s="23" t="n"/>
      <c r="D34" s="18">
        <f>IFERROR(VLOOKUP(C34,Alumnos!$A:$B,2,FALSE),"")</f>
        <v/>
      </c>
      <c r="N34" s="20">
        <f>IF(OR(F34="",I34="",J34="Reprogramada"),"",I34*IFERROR(VLOOKUP(F34,Tutores!$A:$F,6,FALSE),0))</f>
        <v/>
      </c>
    </row>
    <row r="35">
      <c r="A35" s="19" t="n"/>
      <c r="B35" s="23" t="n"/>
      <c r="D35" s="18">
        <f>IFERROR(VLOOKUP(C35,Alumnos!$A:$B,2,FALSE),"")</f>
        <v/>
      </c>
      <c r="N35" s="20">
        <f>IF(OR(F35="",I35="",J35="Reprogramada"),"",I35*IFERROR(VLOOKUP(F35,Tutores!$A:$F,6,FALSE),0))</f>
        <v/>
      </c>
    </row>
    <row r="36">
      <c r="A36" s="19" t="n"/>
      <c r="B36" s="23" t="n"/>
      <c r="D36" s="18">
        <f>IFERROR(VLOOKUP(C36,Alumnos!$A:$B,2,FALSE),"")</f>
        <v/>
      </c>
      <c r="N36" s="20">
        <f>IF(OR(F36="",I36="",J36="Reprogramada"),"",I36*IFERROR(VLOOKUP(F36,Tutores!$A:$F,6,FALSE),0))</f>
        <v/>
      </c>
    </row>
    <row r="37">
      <c r="A37" s="19" t="n"/>
      <c r="B37" s="23" t="n"/>
      <c r="D37" s="18">
        <f>IFERROR(VLOOKUP(C37,Alumnos!$A:$B,2,FALSE),"")</f>
        <v/>
      </c>
      <c r="N37" s="20">
        <f>IF(OR(F37="",I37="",J37="Reprogramada"),"",I37*IFERROR(VLOOKUP(F37,Tutores!$A:$F,6,FALSE),0))</f>
        <v/>
      </c>
    </row>
    <row r="38">
      <c r="A38" s="19" t="n"/>
      <c r="B38" s="23" t="n"/>
      <c r="D38" s="18">
        <f>IFERROR(VLOOKUP(C38,Alumnos!$A:$B,2,FALSE),"")</f>
        <v/>
      </c>
      <c r="N38" s="20">
        <f>IF(OR(F38="",I38="",J38="Reprogramada"),"",I38*IFERROR(VLOOKUP(F38,Tutores!$A:$F,6,FALSE),0))</f>
        <v/>
      </c>
    </row>
    <row r="39">
      <c r="A39" s="19" t="n"/>
      <c r="B39" s="23" t="n"/>
      <c r="D39" s="18">
        <f>IFERROR(VLOOKUP(C39,Alumnos!$A:$B,2,FALSE),"")</f>
        <v/>
      </c>
      <c r="N39" s="20">
        <f>IF(OR(F39="",I39="",J39="Reprogramada"),"",I39*IFERROR(VLOOKUP(F39,Tutores!$A:$F,6,FALSE),0))</f>
        <v/>
      </c>
    </row>
    <row r="40">
      <c r="A40" s="19" t="n"/>
      <c r="B40" s="23" t="n"/>
      <c r="D40" s="18">
        <f>IFERROR(VLOOKUP(C40,Alumnos!$A:$B,2,FALSE),"")</f>
        <v/>
      </c>
      <c r="N40" s="20">
        <f>IF(OR(F40="",I40="",J40="Reprogramada"),"",I40*IFERROR(VLOOKUP(F40,Tutores!$A:$F,6,FALSE),0))</f>
        <v/>
      </c>
    </row>
    <row r="41">
      <c r="A41" s="19" t="n"/>
      <c r="B41" s="23" t="n"/>
      <c r="D41" s="18">
        <f>IFERROR(VLOOKUP(C41,Alumnos!$A:$B,2,FALSE),"")</f>
        <v/>
      </c>
      <c r="N41" s="20">
        <f>IF(OR(F41="",I41="",J41="Reprogramada"),"",I41*IFERROR(VLOOKUP(F41,Tutores!$A:$F,6,FALSE),0))</f>
        <v/>
      </c>
    </row>
    <row r="42">
      <c r="A42" s="19" t="n"/>
      <c r="B42" s="23" t="n"/>
      <c r="D42" s="18">
        <f>IFERROR(VLOOKUP(C42,Alumnos!$A:$B,2,FALSE),"")</f>
        <v/>
      </c>
      <c r="N42" s="20">
        <f>IF(OR(F42="",I42="",J42="Reprogramada"),"",I42*IFERROR(VLOOKUP(F42,Tutores!$A:$F,6,FALSE),0))</f>
        <v/>
      </c>
    </row>
    <row r="43">
      <c r="A43" s="19" t="n"/>
      <c r="B43" s="23" t="n"/>
      <c r="D43" s="18">
        <f>IFERROR(VLOOKUP(C43,Alumnos!$A:$B,2,FALSE),"")</f>
        <v/>
      </c>
      <c r="N43" s="20">
        <f>IF(OR(F43="",I43="",J43="Reprogramada"),"",I43*IFERROR(VLOOKUP(F43,Tutores!$A:$F,6,FALSE),0))</f>
        <v/>
      </c>
    </row>
    <row r="44">
      <c r="A44" s="19" t="n"/>
      <c r="B44" s="23" t="n"/>
      <c r="D44" s="18">
        <f>IFERROR(VLOOKUP(C44,Alumnos!$A:$B,2,FALSE),"")</f>
        <v/>
      </c>
      <c r="N44" s="20">
        <f>IF(OR(F44="",I44="",J44="Reprogramada"),"",I44*IFERROR(VLOOKUP(F44,Tutores!$A:$F,6,FALSE),0))</f>
        <v/>
      </c>
    </row>
    <row r="45">
      <c r="A45" s="19" t="n"/>
      <c r="B45" s="23" t="n"/>
      <c r="D45" s="18">
        <f>IFERROR(VLOOKUP(C45,Alumnos!$A:$B,2,FALSE),"")</f>
        <v/>
      </c>
      <c r="N45" s="20">
        <f>IF(OR(F45="",I45="",J45="Reprogramada"),"",I45*IFERROR(VLOOKUP(F45,Tutores!$A:$F,6,FALSE),0))</f>
        <v/>
      </c>
    </row>
    <row r="46">
      <c r="A46" s="19" t="n"/>
      <c r="B46" s="23" t="n"/>
      <c r="D46" s="18">
        <f>IFERROR(VLOOKUP(C46,Alumnos!$A:$B,2,FALSE),"")</f>
        <v/>
      </c>
      <c r="N46" s="20">
        <f>IF(OR(F46="",I46="",J46="Reprogramada"),"",I46*IFERROR(VLOOKUP(F46,Tutores!$A:$F,6,FALSE),0))</f>
        <v/>
      </c>
    </row>
    <row r="47">
      <c r="A47" s="19" t="n"/>
      <c r="B47" s="23" t="n"/>
      <c r="D47" s="18">
        <f>IFERROR(VLOOKUP(C47,Alumnos!$A:$B,2,FALSE),"")</f>
        <v/>
      </c>
      <c r="N47" s="20">
        <f>IF(OR(F47="",I47="",J47="Reprogramada"),"",I47*IFERROR(VLOOKUP(F47,Tutores!$A:$F,6,FALSE),0))</f>
        <v/>
      </c>
    </row>
    <row r="48">
      <c r="A48" s="19" t="n"/>
      <c r="B48" s="23" t="n"/>
      <c r="D48" s="18">
        <f>IFERROR(VLOOKUP(C48,Alumnos!$A:$B,2,FALSE),"")</f>
        <v/>
      </c>
      <c r="N48" s="20">
        <f>IF(OR(F48="",I48="",J48="Reprogramada"),"",I48*IFERROR(VLOOKUP(F48,Tutores!$A:$F,6,FALSE),0))</f>
        <v/>
      </c>
    </row>
    <row r="49">
      <c r="A49" s="19" t="n"/>
      <c r="B49" s="23" t="n"/>
      <c r="D49" s="18">
        <f>IFERROR(VLOOKUP(C49,Alumnos!$A:$B,2,FALSE),"")</f>
        <v/>
      </c>
      <c r="N49" s="20">
        <f>IF(OR(F49="",I49="",J49="Reprogramada"),"",I49*IFERROR(VLOOKUP(F49,Tutores!$A:$F,6,FALSE),0))</f>
        <v/>
      </c>
    </row>
    <row r="50">
      <c r="A50" s="19" t="n"/>
      <c r="B50" s="23" t="n"/>
      <c r="D50" s="18">
        <f>IFERROR(VLOOKUP(C50,Alumnos!$A:$B,2,FALSE),"")</f>
        <v/>
      </c>
      <c r="N50" s="20">
        <f>IF(OR(F50="",I50="",J50="Reprogramada"),"",I50*IFERROR(VLOOKUP(F50,Tutores!$A:$F,6,FALSE),0))</f>
        <v/>
      </c>
    </row>
    <row r="51">
      <c r="A51" s="19" t="n"/>
      <c r="B51" s="23" t="n"/>
      <c r="D51" s="18">
        <f>IFERROR(VLOOKUP(C51,Alumnos!$A:$B,2,FALSE),"")</f>
        <v/>
      </c>
      <c r="N51" s="20">
        <f>IF(OR(F51="",I51="",J51="Reprogramada"),"",I51*IFERROR(VLOOKUP(F51,Tutores!$A:$F,6,FALSE),0))</f>
        <v/>
      </c>
    </row>
    <row r="52">
      <c r="A52" s="19" t="n"/>
      <c r="B52" s="23" t="n"/>
      <c r="D52" s="18">
        <f>IFERROR(VLOOKUP(C52,Alumnos!$A:$B,2,FALSE),"")</f>
        <v/>
      </c>
      <c r="N52" s="20">
        <f>IF(OR(F52="",I52="",J52="Reprogramada"),"",I52*IFERROR(VLOOKUP(F52,Tutores!$A:$F,6,FALSE),0))</f>
        <v/>
      </c>
    </row>
    <row r="53">
      <c r="A53" s="19" t="n"/>
      <c r="B53" s="23" t="n"/>
      <c r="D53" s="18">
        <f>IFERROR(VLOOKUP(C53,Alumnos!$A:$B,2,FALSE),"")</f>
        <v/>
      </c>
      <c r="N53" s="20">
        <f>IF(OR(F53="",I53="",J53="Reprogramada"),"",I53*IFERROR(VLOOKUP(F53,Tutores!$A:$F,6,FALSE),0))</f>
        <v/>
      </c>
    </row>
    <row r="54">
      <c r="A54" s="19" t="n"/>
      <c r="B54" s="23" t="n"/>
      <c r="D54" s="18">
        <f>IFERROR(VLOOKUP(C54,Alumnos!$A:$B,2,FALSE),"")</f>
        <v/>
      </c>
      <c r="N54" s="20">
        <f>IF(OR(F54="",I54="",J54="Reprogramada"),"",I54*IFERROR(VLOOKUP(F54,Tutores!$A:$F,6,FALSE),0))</f>
        <v/>
      </c>
    </row>
    <row r="55">
      <c r="A55" s="19" t="n"/>
      <c r="B55" s="23" t="n"/>
      <c r="D55" s="18">
        <f>IFERROR(VLOOKUP(C55,Alumnos!$A:$B,2,FALSE),"")</f>
        <v/>
      </c>
      <c r="N55" s="20">
        <f>IF(OR(F55="",I55="",J55="Reprogramada"),"",I55*IFERROR(VLOOKUP(F55,Tutores!$A:$F,6,FALSE),0))</f>
        <v/>
      </c>
    </row>
    <row r="56">
      <c r="A56" s="19" t="n"/>
      <c r="B56" s="23" t="n"/>
      <c r="D56" s="18">
        <f>IFERROR(VLOOKUP(C56,Alumnos!$A:$B,2,FALSE),"")</f>
        <v/>
      </c>
      <c r="N56" s="20">
        <f>IF(OR(F56="",I56="",J56="Reprogramada"),"",I56*IFERROR(VLOOKUP(F56,Tutores!$A:$F,6,FALSE),0))</f>
        <v/>
      </c>
    </row>
    <row r="57">
      <c r="A57" s="19" t="n"/>
      <c r="B57" s="23" t="n"/>
      <c r="D57" s="18">
        <f>IFERROR(VLOOKUP(C57,Alumnos!$A:$B,2,FALSE),"")</f>
        <v/>
      </c>
      <c r="N57" s="20">
        <f>IF(OR(F57="",I57="",J57="Reprogramada"),"",I57*IFERROR(VLOOKUP(F57,Tutores!$A:$F,6,FALSE),0))</f>
        <v/>
      </c>
    </row>
    <row r="58">
      <c r="A58" s="19" t="n"/>
      <c r="B58" s="23" t="n"/>
      <c r="D58" s="18">
        <f>IFERROR(VLOOKUP(C58,Alumnos!$A:$B,2,FALSE),"")</f>
        <v/>
      </c>
      <c r="N58" s="20">
        <f>IF(OR(F58="",I58="",J58="Reprogramada"),"",I58*IFERROR(VLOOKUP(F58,Tutores!$A:$F,6,FALSE),0))</f>
        <v/>
      </c>
    </row>
    <row r="59">
      <c r="A59" s="19" t="n"/>
      <c r="B59" s="23" t="n"/>
      <c r="D59" s="18">
        <f>IFERROR(VLOOKUP(C59,Alumnos!$A:$B,2,FALSE),"")</f>
        <v/>
      </c>
      <c r="N59" s="20">
        <f>IF(OR(F59="",I59="",J59="Reprogramada"),"",I59*IFERROR(VLOOKUP(F59,Tutores!$A:$F,6,FALSE),0))</f>
        <v/>
      </c>
    </row>
    <row r="60">
      <c r="A60" s="19" t="n"/>
      <c r="B60" s="23" t="n"/>
      <c r="D60" s="18">
        <f>IFERROR(VLOOKUP(C60,Alumnos!$A:$B,2,FALSE),"")</f>
        <v/>
      </c>
      <c r="N60" s="20">
        <f>IF(OR(F60="",I60="",J60="Reprogramada"),"",I60*IFERROR(VLOOKUP(F60,Tutores!$A:$F,6,FALSE),0))</f>
        <v/>
      </c>
    </row>
    <row r="61">
      <c r="A61" s="19" t="n"/>
      <c r="B61" s="23" t="n"/>
      <c r="D61" s="18">
        <f>IFERROR(VLOOKUP(C61,Alumnos!$A:$B,2,FALSE),"")</f>
        <v/>
      </c>
      <c r="N61" s="20">
        <f>IF(OR(F61="",I61="",J61="Reprogramada"),"",I61*IFERROR(VLOOKUP(F61,Tutores!$A:$F,6,FALSE),0))</f>
        <v/>
      </c>
    </row>
    <row r="62">
      <c r="A62" s="19" t="n"/>
      <c r="B62" s="23" t="n"/>
      <c r="D62" s="18">
        <f>IFERROR(VLOOKUP(C62,Alumnos!$A:$B,2,FALSE),"")</f>
        <v/>
      </c>
      <c r="N62" s="20">
        <f>IF(OR(F62="",I62="",J62="Reprogramada"),"",I62*IFERROR(VLOOKUP(F62,Tutores!$A:$F,6,FALSE),0))</f>
        <v/>
      </c>
    </row>
    <row r="63">
      <c r="A63" s="19" t="n"/>
      <c r="B63" s="23" t="n"/>
      <c r="D63" s="18">
        <f>IFERROR(VLOOKUP(C63,Alumnos!$A:$B,2,FALSE),"")</f>
        <v/>
      </c>
      <c r="N63" s="20">
        <f>IF(OR(F63="",I63="",J63="Reprogramada"),"",I63*IFERROR(VLOOKUP(F63,Tutores!$A:$F,6,FALSE),0))</f>
        <v/>
      </c>
    </row>
    <row r="64">
      <c r="A64" s="19" t="n"/>
      <c r="B64" s="23" t="n"/>
      <c r="D64" s="18">
        <f>IFERROR(VLOOKUP(C64,Alumnos!$A:$B,2,FALSE),"")</f>
        <v/>
      </c>
      <c r="N64" s="20">
        <f>IF(OR(F64="",I64="",J64="Reprogramada"),"",I64*IFERROR(VLOOKUP(F64,Tutores!$A:$F,6,FALSE),0))</f>
        <v/>
      </c>
    </row>
    <row r="65">
      <c r="A65" s="19" t="n"/>
      <c r="B65" s="23" t="n"/>
      <c r="D65" s="18">
        <f>IFERROR(VLOOKUP(C65,Alumnos!$A:$B,2,FALSE),"")</f>
        <v/>
      </c>
      <c r="N65" s="20">
        <f>IF(OR(F65="",I65="",J65="Reprogramada"),"",I65*IFERROR(VLOOKUP(F65,Tutores!$A:$F,6,FALSE),0))</f>
        <v/>
      </c>
    </row>
    <row r="66">
      <c r="A66" s="19" t="n"/>
      <c r="B66" s="23" t="n"/>
      <c r="D66" s="18">
        <f>IFERROR(VLOOKUP(C66,Alumnos!$A:$B,2,FALSE),"")</f>
        <v/>
      </c>
      <c r="N66" s="20">
        <f>IF(OR(F66="",I66="",J66="Reprogramada"),"",I66*IFERROR(VLOOKUP(F66,Tutores!$A:$F,6,FALSE),0))</f>
        <v/>
      </c>
    </row>
    <row r="67">
      <c r="A67" s="19" t="n"/>
      <c r="B67" s="23" t="n"/>
      <c r="D67" s="18">
        <f>IFERROR(VLOOKUP(C67,Alumnos!$A:$B,2,FALSE),"")</f>
        <v/>
      </c>
      <c r="N67" s="20">
        <f>IF(OR(F67="",I67="",J67="Reprogramada"),"",I67*IFERROR(VLOOKUP(F67,Tutores!$A:$F,6,FALSE),0))</f>
        <v/>
      </c>
    </row>
    <row r="68">
      <c r="A68" s="19" t="n"/>
      <c r="B68" s="23" t="n"/>
      <c r="D68" s="18">
        <f>IFERROR(VLOOKUP(C68,Alumnos!$A:$B,2,FALSE),"")</f>
        <v/>
      </c>
      <c r="N68" s="20">
        <f>IF(OR(F68="",I68="",J68="Reprogramada"),"",I68*IFERROR(VLOOKUP(F68,Tutores!$A:$F,6,FALSE),0))</f>
        <v/>
      </c>
    </row>
    <row r="69">
      <c r="A69" s="19" t="n"/>
      <c r="B69" s="23" t="n"/>
      <c r="D69" s="18">
        <f>IFERROR(VLOOKUP(C69,Alumnos!$A:$B,2,FALSE),"")</f>
        <v/>
      </c>
      <c r="N69" s="20">
        <f>IF(OR(F69="",I69="",J69="Reprogramada"),"",I69*IFERROR(VLOOKUP(F69,Tutores!$A:$F,6,FALSE),0))</f>
        <v/>
      </c>
    </row>
    <row r="70">
      <c r="A70" s="19" t="n"/>
      <c r="B70" s="23" t="n"/>
      <c r="D70" s="18">
        <f>IFERROR(VLOOKUP(C70,Alumnos!$A:$B,2,FALSE),"")</f>
        <v/>
      </c>
      <c r="N70" s="20">
        <f>IF(OR(F70="",I70="",J70="Reprogramada"),"",I70*IFERROR(VLOOKUP(F70,Tutores!$A:$F,6,FALSE),0))</f>
        <v/>
      </c>
    </row>
    <row r="71">
      <c r="A71" s="19" t="n"/>
      <c r="B71" s="23" t="n"/>
      <c r="D71" s="18">
        <f>IFERROR(VLOOKUP(C71,Alumnos!$A:$B,2,FALSE),"")</f>
        <v/>
      </c>
      <c r="N71" s="20">
        <f>IF(OR(F71="",I71="",J71="Reprogramada"),"",I71*IFERROR(VLOOKUP(F71,Tutores!$A:$F,6,FALSE),0))</f>
        <v/>
      </c>
    </row>
    <row r="72">
      <c r="A72" s="19" t="n"/>
      <c r="B72" s="23" t="n"/>
      <c r="D72" s="18">
        <f>IFERROR(VLOOKUP(C72,Alumnos!$A:$B,2,FALSE),"")</f>
        <v/>
      </c>
      <c r="N72" s="20">
        <f>IF(OR(F72="",I72="",J72="Reprogramada"),"",I72*IFERROR(VLOOKUP(F72,Tutores!$A:$F,6,FALSE),0))</f>
        <v/>
      </c>
    </row>
    <row r="73">
      <c r="A73" s="19" t="n"/>
      <c r="B73" s="23" t="n"/>
      <c r="D73" s="18">
        <f>IFERROR(VLOOKUP(C73,Alumnos!$A:$B,2,FALSE),"")</f>
        <v/>
      </c>
      <c r="N73" s="20">
        <f>IF(OR(F73="",I73="",J73="Reprogramada"),"",I73*IFERROR(VLOOKUP(F73,Tutores!$A:$F,6,FALSE),0))</f>
        <v/>
      </c>
    </row>
    <row r="74">
      <c r="A74" s="19" t="n"/>
      <c r="B74" s="23" t="n"/>
      <c r="D74" s="18">
        <f>IFERROR(VLOOKUP(C74,Alumnos!$A:$B,2,FALSE),"")</f>
        <v/>
      </c>
      <c r="N74" s="20">
        <f>IF(OR(F74="",I74="",J74="Reprogramada"),"",I74*IFERROR(VLOOKUP(F74,Tutores!$A:$F,6,FALSE),0))</f>
        <v/>
      </c>
    </row>
    <row r="75">
      <c r="A75" s="19" t="n"/>
      <c r="B75" s="23" t="n"/>
      <c r="D75" s="18">
        <f>IFERROR(VLOOKUP(C75,Alumnos!$A:$B,2,FALSE),"")</f>
        <v/>
      </c>
      <c r="N75" s="20">
        <f>IF(OR(F75="",I75="",J75="Reprogramada"),"",I75*IFERROR(VLOOKUP(F75,Tutores!$A:$F,6,FALSE),0))</f>
        <v/>
      </c>
    </row>
    <row r="76">
      <c r="A76" s="19" t="n"/>
      <c r="B76" s="23" t="n"/>
      <c r="D76" s="18">
        <f>IFERROR(VLOOKUP(C76,Alumnos!$A:$B,2,FALSE),"")</f>
        <v/>
      </c>
      <c r="N76" s="20">
        <f>IF(OR(F76="",I76="",J76="Reprogramada"),"",I76*IFERROR(VLOOKUP(F76,Tutores!$A:$F,6,FALSE),0))</f>
        <v/>
      </c>
    </row>
    <row r="77">
      <c r="A77" s="19" t="n"/>
      <c r="B77" s="23" t="n"/>
      <c r="D77" s="18">
        <f>IFERROR(VLOOKUP(C77,Alumnos!$A:$B,2,FALSE),"")</f>
        <v/>
      </c>
      <c r="N77" s="20">
        <f>IF(OR(F77="",I77="",J77="Reprogramada"),"",I77*IFERROR(VLOOKUP(F77,Tutores!$A:$F,6,FALSE),0))</f>
        <v/>
      </c>
    </row>
    <row r="78">
      <c r="A78" s="19" t="n"/>
      <c r="B78" s="23" t="n"/>
      <c r="D78" s="18">
        <f>IFERROR(VLOOKUP(C78,Alumnos!$A:$B,2,FALSE),"")</f>
        <v/>
      </c>
      <c r="N78" s="20">
        <f>IF(OR(F78="",I78="",J78="Reprogramada"),"",I78*IFERROR(VLOOKUP(F78,Tutores!$A:$F,6,FALSE),0))</f>
        <v/>
      </c>
    </row>
    <row r="79">
      <c r="A79" s="19" t="n"/>
      <c r="B79" s="23" t="n"/>
      <c r="D79" s="18">
        <f>IFERROR(VLOOKUP(C79,Alumnos!$A:$B,2,FALSE),"")</f>
        <v/>
      </c>
      <c r="N79" s="20">
        <f>IF(OR(F79="",I79="",J79="Reprogramada"),"",I79*IFERROR(VLOOKUP(F79,Tutores!$A:$F,6,FALSE),0))</f>
        <v/>
      </c>
    </row>
    <row r="80">
      <c r="A80" s="19" t="n"/>
      <c r="B80" s="23" t="n"/>
      <c r="D80" s="18">
        <f>IFERROR(VLOOKUP(C80,Alumnos!$A:$B,2,FALSE),"")</f>
        <v/>
      </c>
      <c r="N80" s="20">
        <f>IF(OR(F80="",I80="",J80="Reprogramada"),"",I80*IFERROR(VLOOKUP(F80,Tutores!$A:$F,6,FALSE),0))</f>
        <v/>
      </c>
    </row>
    <row r="81">
      <c r="A81" s="19" t="n"/>
      <c r="B81" s="23" t="n"/>
      <c r="D81" s="18">
        <f>IFERROR(VLOOKUP(C81,Alumnos!$A:$B,2,FALSE),"")</f>
        <v/>
      </c>
      <c r="N81" s="20">
        <f>IF(OR(F81="",I81="",J81="Reprogramada"),"",I81*IFERROR(VLOOKUP(F81,Tutores!$A:$F,6,FALSE),0))</f>
        <v/>
      </c>
    </row>
    <row r="82">
      <c r="A82" s="19" t="n"/>
      <c r="B82" s="23" t="n"/>
      <c r="D82" s="18">
        <f>IFERROR(VLOOKUP(C82,Alumnos!$A:$B,2,FALSE),"")</f>
        <v/>
      </c>
      <c r="N82" s="20">
        <f>IF(OR(F82="",I82="",J82="Reprogramada"),"",I82*IFERROR(VLOOKUP(F82,Tutores!$A:$F,6,FALSE),0))</f>
        <v/>
      </c>
    </row>
    <row r="83">
      <c r="A83" s="19" t="n"/>
      <c r="B83" s="23" t="n"/>
      <c r="D83" s="18">
        <f>IFERROR(VLOOKUP(C83,Alumnos!$A:$B,2,FALSE),"")</f>
        <v/>
      </c>
      <c r="N83" s="20">
        <f>IF(OR(F83="",I83="",J83="Reprogramada"),"",I83*IFERROR(VLOOKUP(F83,Tutores!$A:$F,6,FALSE),0))</f>
        <v/>
      </c>
    </row>
    <row r="84">
      <c r="A84" s="19" t="n"/>
      <c r="B84" s="23" t="n"/>
      <c r="D84" s="18">
        <f>IFERROR(VLOOKUP(C84,Alumnos!$A:$B,2,FALSE),"")</f>
        <v/>
      </c>
      <c r="N84" s="20">
        <f>IF(OR(F84="",I84="",J84="Reprogramada"),"",I84*IFERROR(VLOOKUP(F84,Tutores!$A:$F,6,FALSE),0))</f>
        <v/>
      </c>
    </row>
    <row r="85">
      <c r="A85" s="19" t="n"/>
      <c r="B85" s="23" t="n"/>
      <c r="D85" s="18">
        <f>IFERROR(VLOOKUP(C85,Alumnos!$A:$B,2,FALSE),"")</f>
        <v/>
      </c>
      <c r="N85" s="20">
        <f>IF(OR(F85="",I85="",J85="Reprogramada"),"",I85*IFERROR(VLOOKUP(F85,Tutores!$A:$F,6,FALSE),0))</f>
        <v/>
      </c>
    </row>
    <row r="86">
      <c r="A86" s="19" t="n"/>
      <c r="B86" s="23" t="n"/>
      <c r="D86" s="18">
        <f>IFERROR(VLOOKUP(C86,Alumnos!$A:$B,2,FALSE),"")</f>
        <v/>
      </c>
      <c r="N86" s="20">
        <f>IF(OR(F86="",I86="",J86="Reprogramada"),"",I86*IFERROR(VLOOKUP(F86,Tutores!$A:$F,6,FALSE),0))</f>
        <v/>
      </c>
    </row>
    <row r="87">
      <c r="A87" s="19" t="n"/>
      <c r="B87" s="23" t="n"/>
      <c r="D87" s="18">
        <f>IFERROR(VLOOKUP(C87,Alumnos!$A:$B,2,FALSE),"")</f>
        <v/>
      </c>
      <c r="N87" s="20">
        <f>IF(OR(F87="",I87="",J87="Reprogramada"),"",I87*IFERROR(VLOOKUP(F87,Tutores!$A:$F,6,FALSE),0))</f>
        <v/>
      </c>
    </row>
    <row r="88">
      <c r="A88" s="19" t="n"/>
      <c r="B88" s="23" t="n"/>
      <c r="D88" s="18">
        <f>IFERROR(VLOOKUP(C88,Alumnos!$A:$B,2,FALSE),"")</f>
        <v/>
      </c>
      <c r="N88" s="20">
        <f>IF(OR(F88="",I88="",J88="Reprogramada"),"",I88*IFERROR(VLOOKUP(F88,Tutores!$A:$F,6,FALSE),0))</f>
        <v/>
      </c>
    </row>
    <row r="89">
      <c r="A89" s="19" t="n"/>
      <c r="B89" s="23" t="n"/>
      <c r="D89" s="18">
        <f>IFERROR(VLOOKUP(C89,Alumnos!$A:$B,2,FALSE),"")</f>
        <v/>
      </c>
      <c r="N89" s="20">
        <f>IF(OR(F89="",I89="",J89="Reprogramada"),"",I89*IFERROR(VLOOKUP(F89,Tutores!$A:$F,6,FALSE),0))</f>
        <v/>
      </c>
    </row>
    <row r="90">
      <c r="A90" s="19" t="n"/>
      <c r="B90" s="23" t="n"/>
      <c r="D90" s="18">
        <f>IFERROR(VLOOKUP(C90,Alumnos!$A:$B,2,FALSE),"")</f>
        <v/>
      </c>
      <c r="N90" s="20">
        <f>IF(OR(F90="",I90="",J90="Reprogramada"),"",I90*IFERROR(VLOOKUP(F90,Tutores!$A:$F,6,FALSE),0))</f>
        <v/>
      </c>
    </row>
    <row r="91">
      <c r="A91" s="19" t="n"/>
      <c r="B91" s="23" t="n"/>
      <c r="D91" s="18">
        <f>IFERROR(VLOOKUP(C91,Alumnos!$A:$B,2,FALSE),"")</f>
        <v/>
      </c>
      <c r="N91" s="20">
        <f>IF(OR(F91="",I91="",J91="Reprogramada"),"",I91*IFERROR(VLOOKUP(F91,Tutores!$A:$F,6,FALSE),0))</f>
        <v/>
      </c>
    </row>
    <row r="92">
      <c r="A92" s="19" t="n"/>
      <c r="B92" s="23" t="n"/>
      <c r="D92" s="18">
        <f>IFERROR(VLOOKUP(C92,Alumnos!$A:$B,2,FALSE),"")</f>
        <v/>
      </c>
      <c r="N92" s="20">
        <f>IF(OR(F92="",I92="",J92="Reprogramada"),"",I92*IFERROR(VLOOKUP(F92,Tutores!$A:$F,6,FALSE),0))</f>
        <v/>
      </c>
    </row>
    <row r="93">
      <c r="A93" s="19" t="n"/>
      <c r="B93" s="23" t="n"/>
      <c r="D93" s="18">
        <f>IFERROR(VLOOKUP(C93,Alumnos!$A:$B,2,FALSE),"")</f>
        <v/>
      </c>
      <c r="N93" s="20">
        <f>IF(OR(F93="",I93="",J93="Reprogramada"),"",I93*IFERROR(VLOOKUP(F93,Tutores!$A:$F,6,FALSE),0))</f>
        <v/>
      </c>
    </row>
    <row r="94">
      <c r="A94" s="19" t="n"/>
      <c r="B94" s="23" t="n"/>
      <c r="D94" s="18">
        <f>IFERROR(VLOOKUP(C94,Alumnos!$A:$B,2,FALSE),"")</f>
        <v/>
      </c>
      <c r="N94" s="20">
        <f>IF(OR(F94="",I94="",J94="Reprogramada"),"",I94*IFERROR(VLOOKUP(F94,Tutores!$A:$F,6,FALSE),0))</f>
        <v/>
      </c>
    </row>
    <row r="95">
      <c r="A95" s="19" t="n"/>
      <c r="B95" s="23" t="n"/>
      <c r="D95" s="18">
        <f>IFERROR(VLOOKUP(C95,Alumnos!$A:$B,2,FALSE),"")</f>
        <v/>
      </c>
      <c r="N95" s="20">
        <f>IF(OR(F95="",I95="",J95="Reprogramada"),"",I95*IFERROR(VLOOKUP(F95,Tutores!$A:$F,6,FALSE),0))</f>
        <v/>
      </c>
    </row>
    <row r="96">
      <c r="A96" s="19" t="n"/>
      <c r="B96" s="23" t="n"/>
      <c r="D96" s="18">
        <f>IFERROR(VLOOKUP(C96,Alumnos!$A:$B,2,FALSE),"")</f>
        <v/>
      </c>
      <c r="N96" s="20">
        <f>IF(OR(F96="",I96="",J96="Reprogramada"),"",I96*IFERROR(VLOOKUP(F96,Tutores!$A:$F,6,FALSE),0))</f>
        <v/>
      </c>
    </row>
    <row r="97">
      <c r="A97" s="19" t="n"/>
      <c r="B97" s="23" t="n"/>
      <c r="D97" s="18">
        <f>IFERROR(VLOOKUP(C97,Alumnos!$A:$B,2,FALSE),"")</f>
        <v/>
      </c>
      <c r="N97" s="20">
        <f>IF(OR(F97="",I97="",J97="Reprogramada"),"",I97*IFERROR(VLOOKUP(F97,Tutores!$A:$F,6,FALSE),0))</f>
        <v/>
      </c>
    </row>
    <row r="98">
      <c r="A98" s="19" t="n"/>
      <c r="B98" s="23" t="n"/>
      <c r="D98" s="18">
        <f>IFERROR(VLOOKUP(C98,Alumnos!$A:$B,2,FALSE),"")</f>
        <v/>
      </c>
      <c r="N98" s="20">
        <f>IF(OR(F98="",I98="",J98="Reprogramada"),"",I98*IFERROR(VLOOKUP(F98,Tutores!$A:$F,6,FALSE),0))</f>
        <v/>
      </c>
    </row>
    <row r="99">
      <c r="A99" s="19" t="n"/>
      <c r="B99" s="23" t="n"/>
      <c r="D99" s="18">
        <f>IFERROR(VLOOKUP(C99,Alumnos!$A:$B,2,FALSE),"")</f>
        <v/>
      </c>
      <c r="N99" s="20">
        <f>IF(OR(F99="",I99="",J99="Reprogramada"),"",I99*IFERROR(VLOOKUP(F99,Tutores!$A:$F,6,FALSE),0))</f>
        <v/>
      </c>
    </row>
    <row r="100">
      <c r="A100" s="19" t="n"/>
      <c r="B100" s="23" t="n"/>
      <c r="D100" s="18">
        <f>IFERROR(VLOOKUP(C100,Alumnos!$A:$B,2,FALSE),"")</f>
        <v/>
      </c>
      <c r="N100" s="20">
        <f>IF(OR(F100="",I100="",J100="Reprogramada"),"",I100*IFERROR(VLOOKUP(F100,Tutores!$A:$F,6,FALSE),0))</f>
        <v/>
      </c>
    </row>
    <row r="101">
      <c r="A101" s="19" t="n"/>
      <c r="B101" s="23" t="n"/>
      <c r="D101" s="18">
        <f>IFERROR(VLOOKUP(C101,Alumnos!$A:$B,2,FALSE),"")</f>
        <v/>
      </c>
      <c r="N101" s="20">
        <f>IF(OR(F101="",I101="",J101="Reprogramada"),"",I101*IFERROR(VLOOKUP(F101,Tutores!$A:$F,6,FALSE),0))</f>
        <v/>
      </c>
    </row>
    <row r="102">
      <c r="A102" s="19" t="n"/>
      <c r="B102" s="23" t="n"/>
      <c r="D102" s="18">
        <f>IFERROR(VLOOKUP(C102,Alumnos!$A:$B,2,FALSE),"")</f>
        <v/>
      </c>
      <c r="N102" s="20">
        <f>IF(OR(F102="",I102="",J102="Reprogramada"),"",I102*IFERROR(VLOOKUP(F102,Tutores!$A:$F,6,FALSE),0))</f>
        <v/>
      </c>
    </row>
    <row r="103">
      <c r="A103" s="19" t="n"/>
      <c r="B103" s="23" t="n"/>
      <c r="D103" s="18">
        <f>IFERROR(VLOOKUP(C103,Alumnos!$A:$B,2,FALSE),"")</f>
        <v/>
      </c>
      <c r="N103" s="20">
        <f>IF(OR(F103="",I103="",J103="Reprogramada"),"",I103*IFERROR(VLOOKUP(F103,Tutores!$A:$F,6,FALSE),0))</f>
        <v/>
      </c>
    </row>
    <row r="104">
      <c r="A104" s="19" t="n"/>
      <c r="B104" s="23" t="n"/>
      <c r="D104" s="18">
        <f>IFERROR(VLOOKUP(C104,Alumnos!$A:$B,2,FALSE),"")</f>
        <v/>
      </c>
      <c r="N104" s="20">
        <f>IF(OR(F104="",I104="",J104="Reprogramada"),"",I104*IFERROR(VLOOKUP(F104,Tutores!$A:$F,6,FALSE),0))</f>
        <v/>
      </c>
    </row>
    <row r="105">
      <c r="A105" s="19" t="n"/>
      <c r="B105" s="23" t="n"/>
      <c r="D105" s="18">
        <f>IFERROR(VLOOKUP(C105,Alumnos!$A:$B,2,FALSE),"")</f>
        <v/>
      </c>
      <c r="N105" s="20">
        <f>IF(OR(F105="",I105="",J105="Reprogramada"),"",I105*IFERROR(VLOOKUP(F105,Tutores!$A:$F,6,FALSE),0))</f>
        <v/>
      </c>
    </row>
    <row r="106">
      <c r="A106" s="19" t="n"/>
      <c r="B106" s="23" t="n"/>
      <c r="D106" s="18">
        <f>IFERROR(VLOOKUP(C106,Alumnos!$A:$B,2,FALSE),"")</f>
        <v/>
      </c>
      <c r="N106" s="20">
        <f>IF(OR(F106="",I106="",J106="Reprogramada"),"",I106*IFERROR(VLOOKUP(F106,Tutores!$A:$F,6,FALSE),0))</f>
        <v/>
      </c>
    </row>
    <row r="107">
      <c r="A107" s="19" t="n"/>
      <c r="B107" s="23" t="n"/>
      <c r="D107" s="18">
        <f>IFERROR(VLOOKUP(C107,Alumnos!$A:$B,2,FALSE),"")</f>
        <v/>
      </c>
      <c r="N107" s="20">
        <f>IF(OR(F107="",I107="",J107="Reprogramada"),"",I107*IFERROR(VLOOKUP(F107,Tutores!$A:$F,6,FALSE),0))</f>
        <v/>
      </c>
    </row>
    <row r="108">
      <c r="A108" s="19" t="n"/>
      <c r="B108" s="23" t="n"/>
      <c r="D108" s="18">
        <f>IFERROR(VLOOKUP(C108,Alumnos!$A:$B,2,FALSE),"")</f>
        <v/>
      </c>
      <c r="N108" s="20">
        <f>IF(OR(F108="",I108="",J108="Reprogramada"),"",I108*IFERROR(VLOOKUP(F108,Tutores!$A:$F,6,FALSE),0))</f>
        <v/>
      </c>
    </row>
    <row r="109">
      <c r="A109" s="19" t="n"/>
      <c r="B109" s="23" t="n"/>
      <c r="D109" s="18">
        <f>IFERROR(VLOOKUP(C109,Alumnos!$A:$B,2,FALSE),"")</f>
        <v/>
      </c>
      <c r="N109" s="20">
        <f>IF(OR(F109="",I109="",J109="Reprogramada"),"",I109*IFERROR(VLOOKUP(F109,Tutores!$A:$F,6,FALSE),0))</f>
        <v/>
      </c>
    </row>
    <row r="110">
      <c r="A110" s="19" t="n"/>
      <c r="B110" s="23" t="n"/>
      <c r="D110" s="18">
        <f>IFERROR(VLOOKUP(C110,Alumnos!$A:$B,2,FALSE),"")</f>
        <v/>
      </c>
      <c r="N110" s="20">
        <f>IF(OR(F110="",I110="",J110="Reprogramada"),"",I110*IFERROR(VLOOKUP(F110,Tutores!$A:$F,6,FALSE),0))</f>
        <v/>
      </c>
    </row>
    <row r="111">
      <c r="A111" s="19" t="n"/>
      <c r="B111" s="23" t="n"/>
      <c r="D111" s="18">
        <f>IFERROR(VLOOKUP(C111,Alumnos!$A:$B,2,FALSE),"")</f>
        <v/>
      </c>
      <c r="N111" s="20">
        <f>IF(OR(F111="",I111="",J111="Reprogramada"),"",I111*IFERROR(VLOOKUP(F111,Tutores!$A:$F,6,FALSE),0))</f>
        <v/>
      </c>
    </row>
    <row r="112">
      <c r="A112" s="19" t="n"/>
      <c r="B112" s="23" t="n"/>
      <c r="D112" s="18">
        <f>IFERROR(VLOOKUP(C112,Alumnos!$A:$B,2,FALSE),"")</f>
        <v/>
      </c>
      <c r="N112" s="20">
        <f>IF(OR(F112="",I112="",J112="Reprogramada"),"",I112*IFERROR(VLOOKUP(F112,Tutores!$A:$F,6,FALSE),0))</f>
        <v/>
      </c>
    </row>
    <row r="113">
      <c r="A113" s="19" t="n"/>
      <c r="B113" s="23" t="n"/>
      <c r="D113" s="18">
        <f>IFERROR(VLOOKUP(C113,Alumnos!$A:$B,2,FALSE),"")</f>
        <v/>
      </c>
      <c r="N113" s="20">
        <f>IF(OR(F113="",I113="",J113="Reprogramada"),"",I113*IFERROR(VLOOKUP(F113,Tutores!$A:$F,6,FALSE),0))</f>
        <v/>
      </c>
    </row>
    <row r="114">
      <c r="A114" s="19" t="n"/>
      <c r="B114" s="23" t="n"/>
      <c r="D114" s="18">
        <f>IFERROR(VLOOKUP(C114,Alumnos!$A:$B,2,FALSE),"")</f>
        <v/>
      </c>
      <c r="N114" s="20">
        <f>IF(OR(F114="",I114="",J114="Reprogramada"),"",I114*IFERROR(VLOOKUP(F114,Tutores!$A:$F,6,FALSE),0))</f>
        <v/>
      </c>
    </row>
    <row r="115">
      <c r="A115" s="19" t="n"/>
      <c r="B115" s="23" t="n"/>
      <c r="D115" s="18">
        <f>IFERROR(VLOOKUP(C115,Alumnos!$A:$B,2,FALSE),"")</f>
        <v/>
      </c>
      <c r="N115" s="20">
        <f>IF(OR(F115="",I115="",J115="Reprogramada"),"",I115*IFERROR(VLOOKUP(F115,Tutores!$A:$F,6,FALSE),0))</f>
        <v/>
      </c>
    </row>
    <row r="116">
      <c r="A116" s="19" t="n"/>
      <c r="B116" s="23" t="n"/>
      <c r="D116" s="18">
        <f>IFERROR(VLOOKUP(C116,Alumnos!$A:$B,2,FALSE),"")</f>
        <v/>
      </c>
      <c r="N116" s="20">
        <f>IF(OR(F116="",I116="",J116="Reprogramada"),"",I116*IFERROR(VLOOKUP(F116,Tutores!$A:$F,6,FALSE),0))</f>
        <v/>
      </c>
    </row>
    <row r="117">
      <c r="A117" s="19" t="n"/>
      <c r="B117" s="23" t="n"/>
      <c r="D117" s="18">
        <f>IFERROR(VLOOKUP(C117,Alumnos!$A:$B,2,FALSE),"")</f>
        <v/>
      </c>
      <c r="N117" s="20">
        <f>IF(OR(F117="",I117="",J117="Reprogramada"),"",I117*IFERROR(VLOOKUP(F117,Tutores!$A:$F,6,FALSE),0))</f>
        <v/>
      </c>
    </row>
    <row r="118">
      <c r="A118" s="19" t="n"/>
      <c r="B118" s="23" t="n"/>
      <c r="D118" s="18">
        <f>IFERROR(VLOOKUP(C118,Alumnos!$A:$B,2,FALSE),"")</f>
        <v/>
      </c>
      <c r="N118" s="20">
        <f>IF(OR(F118="",I118="",J118="Reprogramada"),"",I118*IFERROR(VLOOKUP(F118,Tutores!$A:$F,6,FALSE),0))</f>
        <v/>
      </c>
    </row>
    <row r="119">
      <c r="A119" s="19" t="n"/>
      <c r="B119" s="23" t="n"/>
      <c r="D119" s="18">
        <f>IFERROR(VLOOKUP(C119,Alumnos!$A:$B,2,FALSE),"")</f>
        <v/>
      </c>
      <c r="N119" s="20">
        <f>IF(OR(F119="",I119="",J119="Reprogramada"),"",I119*IFERROR(VLOOKUP(F119,Tutores!$A:$F,6,FALSE),0))</f>
        <v/>
      </c>
    </row>
    <row r="120">
      <c r="A120" s="19" t="n"/>
      <c r="B120" s="23" t="n"/>
      <c r="D120" s="18">
        <f>IFERROR(VLOOKUP(C120,Alumnos!$A:$B,2,FALSE),"")</f>
        <v/>
      </c>
      <c r="N120" s="20">
        <f>IF(OR(F120="",I120="",J120="Reprogramada"),"",I120*IFERROR(VLOOKUP(F120,Tutores!$A:$F,6,FALSE),0))</f>
        <v/>
      </c>
    </row>
    <row r="121">
      <c r="A121" s="19" t="n"/>
      <c r="B121" s="23" t="n"/>
      <c r="D121" s="18">
        <f>IFERROR(VLOOKUP(C121,Alumnos!$A:$B,2,FALSE),"")</f>
        <v/>
      </c>
      <c r="N121" s="20">
        <f>IF(OR(F121="",I121="",J121="Reprogramada"),"",I121*IFERROR(VLOOKUP(F121,Tutores!$A:$F,6,FALSE),0))</f>
        <v/>
      </c>
    </row>
    <row r="122">
      <c r="A122" s="19" t="n"/>
      <c r="B122" s="23" t="n"/>
      <c r="D122" s="18">
        <f>IFERROR(VLOOKUP(C122,Alumnos!$A:$B,2,FALSE),"")</f>
        <v/>
      </c>
      <c r="N122" s="20">
        <f>IF(OR(F122="",I122="",J122="Reprogramada"),"",I122*IFERROR(VLOOKUP(F122,Tutores!$A:$F,6,FALSE),0))</f>
        <v/>
      </c>
    </row>
    <row r="123">
      <c r="A123" s="19" t="n"/>
      <c r="B123" s="23" t="n"/>
      <c r="D123" s="18">
        <f>IFERROR(VLOOKUP(C123,Alumnos!$A:$B,2,FALSE),"")</f>
        <v/>
      </c>
      <c r="N123" s="20">
        <f>IF(OR(F123="",I123="",J123="Reprogramada"),"",I123*IFERROR(VLOOKUP(F123,Tutores!$A:$F,6,FALSE),0))</f>
        <v/>
      </c>
    </row>
    <row r="124">
      <c r="A124" s="19" t="n"/>
      <c r="B124" s="23" t="n"/>
      <c r="D124" s="18">
        <f>IFERROR(VLOOKUP(C124,Alumnos!$A:$B,2,FALSE),"")</f>
        <v/>
      </c>
      <c r="N124" s="20">
        <f>IF(OR(F124="",I124="",J124="Reprogramada"),"",I124*IFERROR(VLOOKUP(F124,Tutores!$A:$F,6,FALSE),0))</f>
        <v/>
      </c>
    </row>
    <row r="125">
      <c r="A125" s="19" t="n"/>
      <c r="B125" s="23" t="n"/>
      <c r="D125" s="18">
        <f>IFERROR(VLOOKUP(C125,Alumnos!$A:$B,2,FALSE),"")</f>
        <v/>
      </c>
      <c r="N125" s="20">
        <f>IF(OR(F125="",I125="",J125="Reprogramada"),"",I125*IFERROR(VLOOKUP(F125,Tutores!$A:$F,6,FALSE),0))</f>
        <v/>
      </c>
    </row>
    <row r="126">
      <c r="A126" s="19" t="n"/>
      <c r="B126" s="23" t="n"/>
      <c r="D126" s="18">
        <f>IFERROR(VLOOKUP(C126,Alumnos!$A:$B,2,FALSE),"")</f>
        <v/>
      </c>
      <c r="N126" s="20">
        <f>IF(OR(F126="",I126="",J126="Reprogramada"),"",I126*IFERROR(VLOOKUP(F126,Tutores!$A:$F,6,FALSE),0))</f>
        <v/>
      </c>
    </row>
    <row r="127">
      <c r="A127" s="19" t="n"/>
      <c r="B127" s="23" t="n"/>
      <c r="D127" s="18">
        <f>IFERROR(VLOOKUP(C127,Alumnos!$A:$B,2,FALSE),"")</f>
        <v/>
      </c>
      <c r="N127" s="20">
        <f>IF(OR(F127="",I127="",J127="Reprogramada"),"",I127*IFERROR(VLOOKUP(F127,Tutores!$A:$F,6,FALSE),0))</f>
        <v/>
      </c>
    </row>
    <row r="128">
      <c r="A128" s="19" t="n"/>
      <c r="B128" s="23" t="n"/>
      <c r="D128" s="18">
        <f>IFERROR(VLOOKUP(C128,Alumnos!$A:$B,2,FALSE),"")</f>
        <v/>
      </c>
      <c r="N128" s="20">
        <f>IF(OR(F128="",I128="",J128="Reprogramada"),"",I128*IFERROR(VLOOKUP(F128,Tutores!$A:$F,6,FALSE),0))</f>
        <v/>
      </c>
    </row>
    <row r="129">
      <c r="A129" s="19" t="n"/>
      <c r="B129" s="23" t="n"/>
      <c r="D129" s="18">
        <f>IFERROR(VLOOKUP(C129,Alumnos!$A:$B,2,FALSE),"")</f>
        <v/>
      </c>
      <c r="N129" s="20">
        <f>IF(OR(F129="",I129="",J129="Reprogramada"),"",I129*IFERROR(VLOOKUP(F129,Tutores!$A:$F,6,FALSE),0))</f>
        <v/>
      </c>
    </row>
    <row r="130">
      <c r="A130" s="19" t="n"/>
      <c r="B130" s="23" t="n"/>
      <c r="D130" s="18">
        <f>IFERROR(VLOOKUP(C130,Alumnos!$A:$B,2,FALSE),"")</f>
        <v/>
      </c>
      <c r="N130" s="20">
        <f>IF(OR(F130="",I130="",J130="Reprogramada"),"",I130*IFERROR(VLOOKUP(F130,Tutores!$A:$F,6,FALSE),0))</f>
        <v/>
      </c>
    </row>
    <row r="131">
      <c r="A131" s="19" t="n"/>
      <c r="B131" s="23" t="n"/>
      <c r="D131" s="18">
        <f>IFERROR(VLOOKUP(C131,Alumnos!$A:$B,2,FALSE),"")</f>
        <v/>
      </c>
      <c r="N131" s="20">
        <f>IF(OR(F131="",I131="",J131="Reprogramada"),"",I131*IFERROR(VLOOKUP(F131,Tutores!$A:$F,6,FALSE),0))</f>
        <v/>
      </c>
    </row>
    <row r="132">
      <c r="A132" s="19" t="n"/>
      <c r="B132" s="23" t="n"/>
      <c r="D132" s="18">
        <f>IFERROR(VLOOKUP(C132,Alumnos!$A:$B,2,FALSE),"")</f>
        <v/>
      </c>
      <c r="N132" s="20">
        <f>IF(OR(F132="",I132="",J132="Reprogramada"),"",I132*IFERROR(VLOOKUP(F132,Tutores!$A:$F,6,FALSE),0))</f>
        <v/>
      </c>
    </row>
    <row r="133">
      <c r="A133" s="19" t="n"/>
      <c r="B133" s="23" t="n"/>
      <c r="D133" s="18">
        <f>IFERROR(VLOOKUP(C133,Alumnos!$A:$B,2,FALSE),"")</f>
        <v/>
      </c>
      <c r="N133" s="20">
        <f>IF(OR(F133="",I133="",J133="Reprogramada"),"",I133*IFERROR(VLOOKUP(F133,Tutores!$A:$F,6,FALSE),0))</f>
        <v/>
      </c>
    </row>
    <row r="134">
      <c r="A134" s="19" t="n"/>
      <c r="B134" s="23" t="n"/>
      <c r="D134" s="18">
        <f>IFERROR(VLOOKUP(C134,Alumnos!$A:$B,2,FALSE),"")</f>
        <v/>
      </c>
      <c r="N134" s="20">
        <f>IF(OR(F134="",I134="",J134="Reprogramada"),"",I134*IFERROR(VLOOKUP(F134,Tutores!$A:$F,6,FALSE),0))</f>
        <v/>
      </c>
    </row>
    <row r="135">
      <c r="A135" s="19" t="n"/>
      <c r="B135" s="23" t="n"/>
      <c r="D135" s="18">
        <f>IFERROR(VLOOKUP(C135,Alumnos!$A:$B,2,FALSE),"")</f>
        <v/>
      </c>
      <c r="N135" s="20">
        <f>IF(OR(F135="",I135="",J135="Reprogramada"),"",I135*IFERROR(VLOOKUP(F135,Tutores!$A:$F,6,FALSE),0))</f>
        <v/>
      </c>
    </row>
    <row r="136">
      <c r="A136" s="19" t="n"/>
      <c r="B136" s="23" t="n"/>
      <c r="D136" s="18">
        <f>IFERROR(VLOOKUP(C136,Alumnos!$A:$B,2,FALSE),"")</f>
        <v/>
      </c>
      <c r="N136" s="20">
        <f>IF(OR(F136="",I136="",J136="Reprogramada"),"",I136*IFERROR(VLOOKUP(F136,Tutores!$A:$F,6,FALSE),0))</f>
        <v/>
      </c>
    </row>
    <row r="137">
      <c r="A137" s="19" t="n"/>
      <c r="B137" s="23" t="n"/>
      <c r="D137" s="18">
        <f>IFERROR(VLOOKUP(C137,Alumnos!$A:$B,2,FALSE),"")</f>
        <v/>
      </c>
      <c r="N137" s="20">
        <f>IF(OR(F137="",I137="",J137="Reprogramada"),"",I137*IFERROR(VLOOKUP(F137,Tutores!$A:$F,6,FALSE),0))</f>
        <v/>
      </c>
    </row>
    <row r="138">
      <c r="A138" s="19" t="n"/>
      <c r="B138" s="23" t="n"/>
      <c r="D138" s="18">
        <f>IFERROR(VLOOKUP(C138,Alumnos!$A:$B,2,FALSE),"")</f>
        <v/>
      </c>
      <c r="N138" s="20">
        <f>IF(OR(F138="",I138="",J138="Reprogramada"),"",I138*IFERROR(VLOOKUP(F138,Tutores!$A:$F,6,FALSE),0))</f>
        <v/>
      </c>
    </row>
    <row r="139">
      <c r="A139" s="19" t="n"/>
      <c r="B139" s="23" t="n"/>
      <c r="D139" s="18">
        <f>IFERROR(VLOOKUP(C139,Alumnos!$A:$B,2,FALSE),"")</f>
        <v/>
      </c>
      <c r="N139" s="20">
        <f>IF(OR(F139="",I139="",J139="Reprogramada"),"",I139*IFERROR(VLOOKUP(F139,Tutores!$A:$F,6,FALSE),0))</f>
        <v/>
      </c>
    </row>
    <row r="140">
      <c r="A140" s="19" t="n"/>
      <c r="B140" s="23" t="n"/>
      <c r="D140" s="18">
        <f>IFERROR(VLOOKUP(C140,Alumnos!$A:$B,2,FALSE),"")</f>
        <v/>
      </c>
      <c r="N140" s="20">
        <f>IF(OR(F140="",I140="",J140="Reprogramada"),"",I140*IFERROR(VLOOKUP(F140,Tutores!$A:$F,6,FALSE),0))</f>
        <v/>
      </c>
    </row>
    <row r="141">
      <c r="A141" s="19" t="n"/>
      <c r="B141" s="23" t="n"/>
      <c r="D141" s="18">
        <f>IFERROR(VLOOKUP(C141,Alumnos!$A:$B,2,FALSE),"")</f>
        <v/>
      </c>
      <c r="N141" s="20">
        <f>IF(OR(F141="",I141="",J141="Reprogramada"),"",I141*IFERROR(VLOOKUP(F141,Tutores!$A:$F,6,FALSE),0))</f>
        <v/>
      </c>
    </row>
    <row r="142">
      <c r="A142" s="19" t="n"/>
      <c r="B142" s="23" t="n"/>
      <c r="D142" s="18">
        <f>IFERROR(VLOOKUP(C142,Alumnos!$A:$B,2,FALSE),"")</f>
        <v/>
      </c>
      <c r="N142" s="20">
        <f>IF(OR(F142="",I142="",J142="Reprogramada"),"",I142*IFERROR(VLOOKUP(F142,Tutores!$A:$F,6,FALSE),0))</f>
        <v/>
      </c>
    </row>
    <row r="143">
      <c r="A143" s="19" t="n"/>
      <c r="B143" s="23" t="n"/>
      <c r="D143" s="18">
        <f>IFERROR(VLOOKUP(C143,Alumnos!$A:$B,2,FALSE),"")</f>
        <v/>
      </c>
      <c r="N143" s="20">
        <f>IF(OR(F143="",I143="",J143="Reprogramada"),"",I143*IFERROR(VLOOKUP(F143,Tutores!$A:$F,6,FALSE),0))</f>
        <v/>
      </c>
    </row>
    <row r="144">
      <c r="A144" s="19" t="n"/>
      <c r="B144" s="23" t="n"/>
      <c r="D144" s="18">
        <f>IFERROR(VLOOKUP(C144,Alumnos!$A:$B,2,FALSE),"")</f>
        <v/>
      </c>
      <c r="N144" s="20">
        <f>IF(OR(F144="",I144="",J144="Reprogramada"),"",I144*IFERROR(VLOOKUP(F144,Tutores!$A:$F,6,FALSE),0))</f>
        <v/>
      </c>
    </row>
    <row r="145">
      <c r="A145" s="19" t="n"/>
      <c r="B145" s="23" t="n"/>
      <c r="D145" s="18">
        <f>IFERROR(VLOOKUP(C145,Alumnos!$A:$B,2,FALSE),"")</f>
        <v/>
      </c>
      <c r="N145" s="20">
        <f>IF(OR(F145="",I145="",J145="Reprogramada"),"",I145*IFERROR(VLOOKUP(F145,Tutores!$A:$F,6,FALSE),0))</f>
        <v/>
      </c>
    </row>
    <row r="146">
      <c r="A146" s="19" t="n"/>
      <c r="B146" s="23" t="n"/>
      <c r="D146" s="18">
        <f>IFERROR(VLOOKUP(C146,Alumnos!$A:$B,2,FALSE),"")</f>
        <v/>
      </c>
      <c r="N146" s="20">
        <f>IF(OR(F146="",I146="",J146="Reprogramada"),"",I146*IFERROR(VLOOKUP(F146,Tutores!$A:$F,6,FALSE),0))</f>
        <v/>
      </c>
    </row>
    <row r="147">
      <c r="A147" s="19" t="n"/>
      <c r="B147" s="23" t="n"/>
      <c r="D147" s="18">
        <f>IFERROR(VLOOKUP(C147,Alumnos!$A:$B,2,FALSE),"")</f>
        <v/>
      </c>
      <c r="N147" s="20">
        <f>IF(OR(F147="",I147="",J147="Reprogramada"),"",I147*IFERROR(VLOOKUP(F147,Tutores!$A:$F,6,FALSE),0))</f>
        <v/>
      </c>
    </row>
    <row r="148">
      <c r="A148" s="19" t="n"/>
      <c r="B148" s="23" t="n"/>
      <c r="D148" s="18">
        <f>IFERROR(VLOOKUP(C148,Alumnos!$A:$B,2,FALSE),"")</f>
        <v/>
      </c>
      <c r="N148" s="20">
        <f>IF(OR(F148="",I148="",J148="Reprogramada"),"",I148*IFERROR(VLOOKUP(F148,Tutores!$A:$F,6,FALSE),0))</f>
        <v/>
      </c>
    </row>
    <row r="149">
      <c r="A149" s="19" t="n"/>
      <c r="B149" s="23" t="n"/>
      <c r="D149" s="18">
        <f>IFERROR(VLOOKUP(C149,Alumnos!$A:$B,2,FALSE),"")</f>
        <v/>
      </c>
      <c r="N149" s="20">
        <f>IF(OR(F149="",I149="",J149="Reprogramada"),"",I149*IFERROR(VLOOKUP(F149,Tutores!$A:$F,6,FALSE),0))</f>
        <v/>
      </c>
    </row>
    <row r="150">
      <c r="A150" s="19" t="n"/>
      <c r="B150" s="23" t="n"/>
      <c r="D150" s="18">
        <f>IFERROR(VLOOKUP(C150,Alumnos!$A:$B,2,FALSE),"")</f>
        <v/>
      </c>
      <c r="N150" s="20">
        <f>IF(OR(F150="",I150="",J150="Reprogramada"),"",I150*IFERROR(VLOOKUP(F150,Tutores!$A:$F,6,FALSE),0))</f>
        <v/>
      </c>
    </row>
    <row r="151">
      <c r="A151" s="19" t="n"/>
      <c r="B151" s="23" t="n"/>
      <c r="D151" s="18">
        <f>IFERROR(VLOOKUP(C151,Alumnos!$A:$B,2,FALSE),"")</f>
        <v/>
      </c>
      <c r="N151" s="20">
        <f>IF(OR(F151="",I151="",J151="Reprogramada"),"",I151*IFERROR(VLOOKUP(F151,Tutores!$A:$F,6,FALSE),0))</f>
        <v/>
      </c>
    </row>
    <row r="152">
      <c r="A152" s="19" t="n"/>
      <c r="B152" s="23" t="n"/>
      <c r="D152" s="18">
        <f>IFERROR(VLOOKUP(C152,Alumnos!$A:$B,2,FALSE),"")</f>
        <v/>
      </c>
      <c r="N152" s="20">
        <f>IF(OR(F152="",I152="",J152="Reprogramada"),"",I152*IFERROR(VLOOKUP(F152,Tutores!$A:$F,6,FALSE),0))</f>
        <v/>
      </c>
    </row>
    <row r="153">
      <c r="A153" s="19" t="n"/>
      <c r="B153" s="23" t="n"/>
      <c r="D153" s="18">
        <f>IFERROR(VLOOKUP(C153,Alumnos!$A:$B,2,FALSE),"")</f>
        <v/>
      </c>
      <c r="N153" s="20">
        <f>IF(OR(F153="",I153="",J153="Reprogramada"),"",I153*IFERROR(VLOOKUP(F153,Tutores!$A:$F,6,FALSE),0))</f>
        <v/>
      </c>
    </row>
    <row r="154">
      <c r="A154" s="19" t="n"/>
      <c r="B154" s="23" t="n"/>
      <c r="D154" s="18">
        <f>IFERROR(VLOOKUP(C154,Alumnos!$A:$B,2,FALSE),"")</f>
        <v/>
      </c>
      <c r="N154" s="20">
        <f>IF(OR(F154="",I154="",J154="Reprogramada"),"",I154*IFERROR(VLOOKUP(F154,Tutores!$A:$F,6,FALSE),0))</f>
        <v/>
      </c>
    </row>
    <row r="155">
      <c r="A155" s="19" t="n"/>
      <c r="B155" s="23" t="n"/>
      <c r="D155" s="18">
        <f>IFERROR(VLOOKUP(C155,Alumnos!$A:$B,2,FALSE),"")</f>
        <v/>
      </c>
      <c r="N155" s="20">
        <f>IF(OR(F155="",I155="",J155="Reprogramada"),"",I155*IFERROR(VLOOKUP(F155,Tutores!$A:$F,6,FALSE),0))</f>
        <v/>
      </c>
    </row>
    <row r="156">
      <c r="A156" s="19" t="n"/>
      <c r="B156" s="23" t="n"/>
      <c r="D156" s="18">
        <f>IFERROR(VLOOKUP(C156,Alumnos!$A:$B,2,FALSE),"")</f>
        <v/>
      </c>
      <c r="N156" s="20">
        <f>IF(OR(F156="",I156="",J156="Reprogramada"),"",I156*IFERROR(VLOOKUP(F156,Tutores!$A:$F,6,FALSE),0))</f>
        <v/>
      </c>
    </row>
    <row r="157">
      <c r="A157" s="19" t="n"/>
      <c r="B157" s="23" t="n"/>
      <c r="D157" s="18">
        <f>IFERROR(VLOOKUP(C157,Alumnos!$A:$B,2,FALSE),"")</f>
        <v/>
      </c>
      <c r="N157" s="20">
        <f>IF(OR(F157="",I157="",J157="Reprogramada"),"",I157*IFERROR(VLOOKUP(F157,Tutores!$A:$F,6,FALSE),0))</f>
        <v/>
      </c>
    </row>
    <row r="158">
      <c r="A158" s="19" t="n"/>
      <c r="B158" s="23" t="n"/>
      <c r="D158" s="18">
        <f>IFERROR(VLOOKUP(C158,Alumnos!$A:$B,2,FALSE),"")</f>
        <v/>
      </c>
      <c r="N158" s="20">
        <f>IF(OR(F158="",I158="",J158="Reprogramada"),"",I158*IFERROR(VLOOKUP(F158,Tutores!$A:$F,6,FALSE),0))</f>
        <v/>
      </c>
    </row>
    <row r="159">
      <c r="A159" s="19" t="n"/>
      <c r="B159" s="23" t="n"/>
      <c r="D159" s="18">
        <f>IFERROR(VLOOKUP(C159,Alumnos!$A:$B,2,FALSE),"")</f>
        <v/>
      </c>
      <c r="N159" s="20">
        <f>IF(OR(F159="",I159="",J159="Reprogramada"),"",I159*IFERROR(VLOOKUP(F159,Tutores!$A:$F,6,FALSE),0))</f>
        <v/>
      </c>
    </row>
    <row r="160">
      <c r="A160" s="19" t="n"/>
      <c r="B160" s="23" t="n"/>
      <c r="D160" s="18">
        <f>IFERROR(VLOOKUP(C160,Alumnos!$A:$B,2,FALSE),"")</f>
        <v/>
      </c>
      <c r="N160" s="20">
        <f>IF(OR(F160="",I160="",J160="Reprogramada"),"",I160*IFERROR(VLOOKUP(F160,Tutores!$A:$F,6,FALSE),0))</f>
        <v/>
      </c>
    </row>
    <row r="161">
      <c r="A161" s="19" t="n"/>
      <c r="B161" s="23" t="n"/>
      <c r="D161" s="18">
        <f>IFERROR(VLOOKUP(C161,Alumnos!$A:$B,2,FALSE),"")</f>
        <v/>
      </c>
      <c r="N161" s="20">
        <f>IF(OR(F161="",I161="",J161="Reprogramada"),"",I161*IFERROR(VLOOKUP(F161,Tutores!$A:$F,6,FALSE),0))</f>
        <v/>
      </c>
    </row>
    <row r="162">
      <c r="A162" s="19" t="n"/>
      <c r="B162" s="23" t="n"/>
      <c r="D162" s="18">
        <f>IFERROR(VLOOKUP(C162,Alumnos!$A:$B,2,FALSE),"")</f>
        <v/>
      </c>
      <c r="N162" s="20">
        <f>IF(OR(F162="",I162="",J162="Reprogramada"),"",I162*IFERROR(VLOOKUP(F162,Tutores!$A:$F,6,FALSE),0))</f>
        <v/>
      </c>
    </row>
    <row r="163">
      <c r="A163" s="19" t="n"/>
      <c r="B163" s="23" t="n"/>
      <c r="D163" s="18">
        <f>IFERROR(VLOOKUP(C163,Alumnos!$A:$B,2,FALSE),"")</f>
        <v/>
      </c>
      <c r="N163" s="20">
        <f>IF(OR(F163="",I163="",J163="Reprogramada"),"",I163*IFERROR(VLOOKUP(F163,Tutores!$A:$F,6,FALSE),0))</f>
        <v/>
      </c>
    </row>
    <row r="164">
      <c r="A164" s="19" t="n"/>
      <c r="B164" s="23" t="n"/>
      <c r="D164" s="18">
        <f>IFERROR(VLOOKUP(C164,Alumnos!$A:$B,2,FALSE),"")</f>
        <v/>
      </c>
      <c r="N164" s="20">
        <f>IF(OR(F164="",I164="",J164="Reprogramada"),"",I164*IFERROR(VLOOKUP(F164,Tutores!$A:$F,6,FALSE),0))</f>
        <v/>
      </c>
    </row>
    <row r="165">
      <c r="A165" s="19" t="n"/>
      <c r="B165" s="23" t="n"/>
      <c r="D165" s="18">
        <f>IFERROR(VLOOKUP(C165,Alumnos!$A:$B,2,FALSE),"")</f>
        <v/>
      </c>
      <c r="N165" s="20">
        <f>IF(OR(F165="",I165="",J165="Reprogramada"),"",I165*IFERROR(VLOOKUP(F165,Tutores!$A:$F,6,FALSE),0))</f>
        <v/>
      </c>
    </row>
    <row r="166">
      <c r="A166" s="19" t="n"/>
      <c r="B166" s="23" t="n"/>
      <c r="D166" s="18">
        <f>IFERROR(VLOOKUP(C166,Alumnos!$A:$B,2,FALSE),"")</f>
        <v/>
      </c>
      <c r="N166" s="20">
        <f>IF(OR(F166="",I166="",J166="Reprogramada"),"",I166*IFERROR(VLOOKUP(F166,Tutores!$A:$F,6,FALSE),0))</f>
        <v/>
      </c>
    </row>
    <row r="167">
      <c r="A167" s="19" t="n"/>
      <c r="B167" s="23" t="n"/>
      <c r="D167" s="18">
        <f>IFERROR(VLOOKUP(C167,Alumnos!$A:$B,2,FALSE),"")</f>
        <v/>
      </c>
      <c r="N167" s="20">
        <f>IF(OR(F167="",I167="",J167="Reprogramada"),"",I167*IFERROR(VLOOKUP(F167,Tutores!$A:$F,6,FALSE),0))</f>
        <v/>
      </c>
    </row>
    <row r="168">
      <c r="A168" s="19" t="n"/>
      <c r="B168" s="23" t="n"/>
      <c r="D168" s="18">
        <f>IFERROR(VLOOKUP(C168,Alumnos!$A:$B,2,FALSE),"")</f>
        <v/>
      </c>
      <c r="N168" s="20">
        <f>IF(OR(F168="",I168="",J168="Reprogramada"),"",I168*IFERROR(VLOOKUP(F168,Tutores!$A:$F,6,FALSE),0))</f>
        <v/>
      </c>
    </row>
    <row r="169">
      <c r="A169" s="19" t="n"/>
      <c r="B169" s="23" t="n"/>
      <c r="D169" s="18">
        <f>IFERROR(VLOOKUP(C169,Alumnos!$A:$B,2,FALSE),"")</f>
        <v/>
      </c>
      <c r="N169" s="20">
        <f>IF(OR(F169="",I169="",J169="Reprogramada"),"",I169*IFERROR(VLOOKUP(F169,Tutores!$A:$F,6,FALSE),0))</f>
        <v/>
      </c>
    </row>
    <row r="170">
      <c r="A170" s="19" t="n"/>
      <c r="B170" s="23" t="n"/>
      <c r="D170" s="18">
        <f>IFERROR(VLOOKUP(C170,Alumnos!$A:$B,2,FALSE),"")</f>
        <v/>
      </c>
      <c r="N170" s="20">
        <f>IF(OR(F170="",I170="",J170="Reprogramada"),"",I170*IFERROR(VLOOKUP(F170,Tutores!$A:$F,6,FALSE),0))</f>
        <v/>
      </c>
    </row>
    <row r="171">
      <c r="A171" s="19" t="n"/>
      <c r="B171" s="23" t="n"/>
      <c r="D171" s="18">
        <f>IFERROR(VLOOKUP(C171,Alumnos!$A:$B,2,FALSE),"")</f>
        <v/>
      </c>
      <c r="N171" s="20">
        <f>IF(OR(F171="",I171="",J171="Reprogramada"),"",I171*IFERROR(VLOOKUP(F171,Tutores!$A:$F,6,FALSE),0))</f>
        <v/>
      </c>
    </row>
    <row r="172">
      <c r="A172" s="19" t="n"/>
      <c r="B172" s="23" t="n"/>
      <c r="D172" s="18">
        <f>IFERROR(VLOOKUP(C172,Alumnos!$A:$B,2,FALSE),"")</f>
        <v/>
      </c>
      <c r="N172" s="20">
        <f>IF(OR(F172="",I172="",J172="Reprogramada"),"",I172*IFERROR(VLOOKUP(F172,Tutores!$A:$F,6,FALSE),0))</f>
        <v/>
      </c>
    </row>
    <row r="173">
      <c r="A173" s="19" t="n"/>
      <c r="B173" s="23" t="n"/>
      <c r="D173" s="18">
        <f>IFERROR(VLOOKUP(C173,Alumnos!$A:$B,2,FALSE),"")</f>
        <v/>
      </c>
      <c r="N173" s="20">
        <f>IF(OR(F173="",I173="",J173="Reprogramada"),"",I173*IFERROR(VLOOKUP(F173,Tutores!$A:$F,6,FALSE),0))</f>
        <v/>
      </c>
    </row>
    <row r="174">
      <c r="A174" s="19" t="n"/>
      <c r="B174" s="23" t="n"/>
      <c r="D174" s="18">
        <f>IFERROR(VLOOKUP(C174,Alumnos!$A:$B,2,FALSE),"")</f>
        <v/>
      </c>
      <c r="N174" s="20">
        <f>IF(OR(F174="",I174="",J174="Reprogramada"),"",I174*IFERROR(VLOOKUP(F174,Tutores!$A:$F,6,FALSE),0))</f>
        <v/>
      </c>
    </row>
    <row r="175">
      <c r="A175" s="19" t="n"/>
      <c r="B175" s="23" t="n"/>
      <c r="D175" s="18">
        <f>IFERROR(VLOOKUP(C175,Alumnos!$A:$B,2,FALSE),"")</f>
        <v/>
      </c>
      <c r="N175" s="20">
        <f>IF(OR(F175="",I175="",J175="Reprogramada"),"",I175*IFERROR(VLOOKUP(F175,Tutores!$A:$F,6,FALSE),0))</f>
        <v/>
      </c>
    </row>
    <row r="176">
      <c r="A176" s="19" t="n"/>
      <c r="B176" s="23" t="n"/>
      <c r="D176" s="18">
        <f>IFERROR(VLOOKUP(C176,Alumnos!$A:$B,2,FALSE),"")</f>
        <v/>
      </c>
      <c r="N176" s="20">
        <f>IF(OR(F176="",I176="",J176="Reprogramada"),"",I176*IFERROR(VLOOKUP(F176,Tutores!$A:$F,6,FALSE),0))</f>
        <v/>
      </c>
    </row>
    <row r="177">
      <c r="A177" s="19" t="n"/>
      <c r="B177" s="23" t="n"/>
      <c r="D177" s="18">
        <f>IFERROR(VLOOKUP(C177,Alumnos!$A:$B,2,FALSE),"")</f>
        <v/>
      </c>
      <c r="N177" s="20">
        <f>IF(OR(F177="",I177="",J177="Reprogramada"),"",I177*IFERROR(VLOOKUP(F177,Tutores!$A:$F,6,FALSE),0))</f>
        <v/>
      </c>
    </row>
    <row r="178">
      <c r="A178" s="19" t="n"/>
      <c r="B178" s="23" t="n"/>
      <c r="D178" s="18">
        <f>IFERROR(VLOOKUP(C178,Alumnos!$A:$B,2,FALSE),"")</f>
        <v/>
      </c>
      <c r="N178" s="20">
        <f>IF(OR(F178="",I178="",J178="Reprogramada"),"",I178*IFERROR(VLOOKUP(F178,Tutores!$A:$F,6,FALSE),0))</f>
        <v/>
      </c>
    </row>
    <row r="179">
      <c r="A179" s="19" t="n"/>
      <c r="B179" s="23" t="n"/>
      <c r="D179" s="18">
        <f>IFERROR(VLOOKUP(C179,Alumnos!$A:$B,2,FALSE),"")</f>
        <v/>
      </c>
      <c r="N179" s="20">
        <f>IF(OR(F179="",I179="",J179="Reprogramada"),"",I179*IFERROR(VLOOKUP(F179,Tutores!$A:$F,6,FALSE),0))</f>
        <v/>
      </c>
    </row>
    <row r="180">
      <c r="A180" s="19" t="n"/>
      <c r="B180" s="23" t="n"/>
      <c r="D180" s="18">
        <f>IFERROR(VLOOKUP(C180,Alumnos!$A:$B,2,FALSE),"")</f>
        <v/>
      </c>
      <c r="N180" s="20">
        <f>IF(OR(F180="",I180="",J180="Reprogramada"),"",I180*IFERROR(VLOOKUP(F180,Tutores!$A:$F,6,FALSE),0))</f>
        <v/>
      </c>
    </row>
    <row r="181">
      <c r="A181" s="19" t="n"/>
      <c r="B181" s="23" t="n"/>
      <c r="D181" s="18">
        <f>IFERROR(VLOOKUP(C181,Alumnos!$A:$B,2,FALSE),"")</f>
        <v/>
      </c>
      <c r="N181" s="20">
        <f>IF(OR(F181="",I181="",J181="Reprogramada"),"",I181*IFERROR(VLOOKUP(F181,Tutores!$A:$F,6,FALSE),0))</f>
        <v/>
      </c>
    </row>
    <row r="182">
      <c r="A182" s="19" t="n"/>
      <c r="B182" s="23" t="n"/>
      <c r="D182" s="18">
        <f>IFERROR(VLOOKUP(C182,Alumnos!$A:$B,2,FALSE),"")</f>
        <v/>
      </c>
      <c r="N182" s="20">
        <f>IF(OR(F182="",I182="",J182="Reprogramada"),"",I182*IFERROR(VLOOKUP(F182,Tutores!$A:$F,6,FALSE),0))</f>
        <v/>
      </c>
    </row>
    <row r="183">
      <c r="A183" s="19" t="n"/>
      <c r="B183" s="23" t="n"/>
      <c r="D183" s="18">
        <f>IFERROR(VLOOKUP(C183,Alumnos!$A:$B,2,FALSE),"")</f>
        <v/>
      </c>
      <c r="N183" s="20">
        <f>IF(OR(F183="",I183="",J183="Reprogramada"),"",I183*IFERROR(VLOOKUP(F183,Tutores!$A:$F,6,FALSE),0))</f>
        <v/>
      </c>
    </row>
    <row r="184">
      <c r="A184" s="19" t="n"/>
      <c r="B184" s="23" t="n"/>
      <c r="D184" s="18">
        <f>IFERROR(VLOOKUP(C184,Alumnos!$A:$B,2,FALSE),"")</f>
        <v/>
      </c>
      <c r="N184" s="20">
        <f>IF(OR(F184="",I184="",J184="Reprogramada"),"",I184*IFERROR(VLOOKUP(F184,Tutores!$A:$F,6,FALSE),0))</f>
        <v/>
      </c>
    </row>
    <row r="185">
      <c r="A185" s="19" t="n"/>
      <c r="B185" s="23" t="n"/>
      <c r="D185" s="18">
        <f>IFERROR(VLOOKUP(C185,Alumnos!$A:$B,2,FALSE),"")</f>
        <v/>
      </c>
      <c r="N185" s="20">
        <f>IF(OR(F185="",I185="",J185="Reprogramada"),"",I185*IFERROR(VLOOKUP(F185,Tutores!$A:$F,6,FALSE),0))</f>
        <v/>
      </c>
    </row>
    <row r="186">
      <c r="A186" s="19" t="n"/>
      <c r="B186" s="23" t="n"/>
      <c r="D186" s="18">
        <f>IFERROR(VLOOKUP(C186,Alumnos!$A:$B,2,FALSE),"")</f>
        <v/>
      </c>
      <c r="N186" s="20">
        <f>IF(OR(F186="",I186="",J186="Reprogramada"),"",I186*IFERROR(VLOOKUP(F186,Tutores!$A:$F,6,FALSE),0))</f>
        <v/>
      </c>
    </row>
    <row r="187">
      <c r="A187" s="19" t="n"/>
      <c r="B187" s="23" t="n"/>
      <c r="D187" s="18">
        <f>IFERROR(VLOOKUP(C187,Alumnos!$A:$B,2,FALSE),"")</f>
        <v/>
      </c>
      <c r="N187" s="20">
        <f>IF(OR(F187="",I187="",J187="Reprogramada"),"",I187*IFERROR(VLOOKUP(F187,Tutores!$A:$F,6,FALSE),0))</f>
        <v/>
      </c>
    </row>
    <row r="188">
      <c r="A188" s="19" t="n"/>
      <c r="B188" s="23" t="n"/>
      <c r="D188" s="18">
        <f>IFERROR(VLOOKUP(C188,Alumnos!$A:$B,2,FALSE),"")</f>
        <v/>
      </c>
      <c r="N188" s="20">
        <f>IF(OR(F188="",I188="",J188="Reprogramada"),"",I188*IFERROR(VLOOKUP(F188,Tutores!$A:$F,6,FALSE),0))</f>
        <v/>
      </c>
    </row>
    <row r="189">
      <c r="A189" s="19" t="n"/>
      <c r="B189" s="23" t="n"/>
      <c r="D189" s="18">
        <f>IFERROR(VLOOKUP(C189,Alumnos!$A:$B,2,FALSE),"")</f>
        <v/>
      </c>
      <c r="N189" s="20">
        <f>IF(OR(F189="",I189="",J189="Reprogramada"),"",I189*IFERROR(VLOOKUP(F189,Tutores!$A:$F,6,FALSE),0))</f>
        <v/>
      </c>
    </row>
    <row r="190">
      <c r="A190" s="19" t="n"/>
      <c r="B190" s="23" t="n"/>
      <c r="D190" s="18">
        <f>IFERROR(VLOOKUP(C190,Alumnos!$A:$B,2,FALSE),"")</f>
        <v/>
      </c>
      <c r="N190" s="20">
        <f>IF(OR(F190="",I190="",J190="Reprogramada"),"",I190*IFERROR(VLOOKUP(F190,Tutores!$A:$F,6,FALSE),0))</f>
        <v/>
      </c>
    </row>
    <row r="191">
      <c r="A191" s="19" t="n"/>
      <c r="B191" s="23" t="n"/>
      <c r="D191" s="18">
        <f>IFERROR(VLOOKUP(C191,Alumnos!$A:$B,2,FALSE),"")</f>
        <v/>
      </c>
      <c r="N191" s="20">
        <f>IF(OR(F191="",I191="",J191="Reprogramada"),"",I191*IFERROR(VLOOKUP(F191,Tutores!$A:$F,6,FALSE),0))</f>
        <v/>
      </c>
    </row>
    <row r="192">
      <c r="A192" s="19" t="n"/>
      <c r="B192" s="23" t="n"/>
      <c r="D192" s="18">
        <f>IFERROR(VLOOKUP(C192,Alumnos!$A:$B,2,FALSE),"")</f>
        <v/>
      </c>
      <c r="N192" s="20">
        <f>IF(OR(F192="",I192="",J192="Reprogramada"),"",I192*IFERROR(VLOOKUP(F192,Tutores!$A:$F,6,FALSE),0))</f>
        <v/>
      </c>
    </row>
    <row r="193">
      <c r="A193" s="19" t="n"/>
      <c r="B193" s="23" t="n"/>
      <c r="D193" s="18">
        <f>IFERROR(VLOOKUP(C193,Alumnos!$A:$B,2,FALSE),"")</f>
        <v/>
      </c>
      <c r="N193" s="20">
        <f>IF(OR(F193="",I193="",J193="Reprogramada"),"",I193*IFERROR(VLOOKUP(F193,Tutores!$A:$F,6,FALSE),0))</f>
        <v/>
      </c>
    </row>
    <row r="194">
      <c r="A194" s="19" t="n"/>
      <c r="B194" s="23" t="n"/>
      <c r="D194" s="18">
        <f>IFERROR(VLOOKUP(C194,Alumnos!$A:$B,2,FALSE),"")</f>
        <v/>
      </c>
      <c r="N194" s="20">
        <f>IF(OR(F194="",I194="",J194="Reprogramada"),"",I194*IFERROR(VLOOKUP(F194,Tutores!$A:$F,6,FALSE),0))</f>
        <v/>
      </c>
    </row>
    <row r="195">
      <c r="A195" s="19" t="n"/>
      <c r="B195" s="23" t="n"/>
      <c r="D195" s="18">
        <f>IFERROR(VLOOKUP(C195,Alumnos!$A:$B,2,FALSE),"")</f>
        <v/>
      </c>
      <c r="N195" s="20">
        <f>IF(OR(F195="",I195="",J195="Reprogramada"),"",I195*IFERROR(VLOOKUP(F195,Tutores!$A:$F,6,FALSE),0))</f>
        <v/>
      </c>
    </row>
    <row r="196">
      <c r="A196" s="19" t="n"/>
      <c r="B196" s="23" t="n"/>
      <c r="D196" s="18">
        <f>IFERROR(VLOOKUP(C196,Alumnos!$A:$B,2,FALSE),"")</f>
        <v/>
      </c>
      <c r="N196" s="20">
        <f>IF(OR(F196="",I196="",J196="Reprogramada"),"",I196*IFERROR(VLOOKUP(F196,Tutores!$A:$F,6,FALSE),0))</f>
        <v/>
      </c>
    </row>
    <row r="197">
      <c r="A197" s="19" t="n"/>
      <c r="B197" s="23" t="n"/>
      <c r="D197" s="18">
        <f>IFERROR(VLOOKUP(C197,Alumnos!$A:$B,2,FALSE),"")</f>
        <v/>
      </c>
      <c r="N197" s="20">
        <f>IF(OR(F197="",I197="",J197="Reprogramada"),"",I197*IFERROR(VLOOKUP(F197,Tutores!$A:$F,6,FALSE),0))</f>
        <v/>
      </c>
    </row>
    <row r="198">
      <c r="A198" s="19" t="n"/>
      <c r="B198" s="23" t="n"/>
      <c r="D198" s="18">
        <f>IFERROR(VLOOKUP(C198,Alumnos!$A:$B,2,FALSE),"")</f>
        <v/>
      </c>
      <c r="N198" s="20">
        <f>IF(OR(F198="",I198="",J198="Reprogramada"),"",I198*IFERROR(VLOOKUP(F198,Tutores!$A:$F,6,FALSE),0))</f>
        <v/>
      </c>
    </row>
    <row r="199">
      <c r="A199" s="19" t="n"/>
      <c r="B199" s="23" t="n"/>
      <c r="D199" s="18">
        <f>IFERROR(VLOOKUP(C199,Alumnos!$A:$B,2,FALSE),"")</f>
        <v/>
      </c>
      <c r="N199" s="20">
        <f>IF(OR(F199="",I199="",J199="Reprogramada"),"",I199*IFERROR(VLOOKUP(F199,Tutores!$A:$F,6,FALSE),0))</f>
        <v/>
      </c>
    </row>
    <row r="200">
      <c r="A200" s="19" t="n"/>
      <c r="B200" s="23" t="n"/>
      <c r="D200" s="18">
        <f>IFERROR(VLOOKUP(C200,Alumnos!$A:$B,2,FALSE),"")</f>
        <v/>
      </c>
      <c r="N200" s="20">
        <f>IF(OR(F200="",I200="",J200="Reprogramada"),"",I200*IFERROR(VLOOKUP(F200,Tutores!$A:$F,6,FALSE),0))</f>
        <v/>
      </c>
    </row>
    <row r="201">
      <c r="A201" s="19" t="n"/>
      <c r="B201" s="23" t="n"/>
      <c r="D201" s="18">
        <f>IFERROR(VLOOKUP(C201,Alumnos!$A:$B,2,FALSE),"")</f>
        <v/>
      </c>
      <c r="N201" s="20">
        <f>IF(OR(F201="",I201="",J201="Reprogramada"),"",I201*IFERROR(VLOOKUP(F201,Tutores!$A:$F,6,FALSE),0))</f>
        <v/>
      </c>
    </row>
    <row r="202">
      <c r="A202" s="19" t="n"/>
      <c r="B202" s="23" t="n"/>
      <c r="D202" s="18">
        <f>IFERROR(VLOOKUP(C202,Alumnos!$A:$B,2,FALSE),"")</f>
        <v/>
      </c>
      <c r="N202" s="20">
        <f>IF(OR(F202="",I202="",J202="Reprogramada"),"",I202*IFERROR(VLOOKUP(F202,Tutores!$A:$F,6,FALSE),0))</f>
        <v/>
      </c>
    </row>
    <row r="203">
      <c r="A203" s="19" t="n"/>
      <c r="B203" s="23" t="n"/>
      <c r="D203" s="18">
        <f>IFERROR(VLOOKUP(C203,Alumnos!$A:$B,2,FALSE),"")</f>
        <v/>
      </c>
      <c r="N203" s="20">
        <f>IF(OR(F203="",I203="",J203="Reprogramada"),"",I203*IFERROR(VLOOKUP(F203,Tutores!$A:$F,6,FALSE),0))</f>
        <v/>
      </c>
    </row>
    <row r="204">
      <c r="A204" s="19" t="n"/>
      <c r="B204" s="23" t="n"/>
      <c r="D204" s="18">
        <f>IFERROR(VLOOKUP(C204,Alumnos!$A:$B,2,FALSE),"")</f>
        <v/>
      </c>
      <c r="N204" s="20">
        <f>IF(OR(F204="",I204="",J204="Reprogramada"),"",I204*IFERROR(VLOOKUP(F204,Tutores!$A:$F,6,FALSE),0))</f>
        <v/>
      </c>
    </row>
    <row r="205">
      <c r="A205" s="19" t="n"/>
      <c r="B205" s="23" t="n"/>
      <c r="D205" s="18">
        <f>IFERROR(VLOOKUP(C205,Alumnos!$A:$B,2,FALSE),"")</f>
        <v/>
      </c>
      <c r="N205" s="20">
        <f>IF(OR(F205="",I205="",J205="Reprogramada"),"",I205*IFERROR(VLOOKUP(F205,Tutores!$A:$F,6,FALSE),0))</f>
        <v/>
      </c>
    </row>
    <row r="206">
      <c r="A206" s="19" t="n"/>
      <c r="B206" s="23" t="n"/>
      <c r="D206" s="18">
        <f>IFERROR(VLOOKUP(C206,Alumnos!$A:$B,2,FALSE),"")</f>
        <v/>
      </c>
      <c r="N206" s="20">
        <f>IF(OR(F206="",I206="",J206="Reprogramada"),"",I206*IFERROR(VLOOKUP(F206,Tutores!$A:$F,6,FALSE),0))</f>
        <v/>
      </c>
    </row>
    <row r="207">
      <c r="A207" s="19" t="n"/>
      <c r="B207" s="23" t="n"/>
      <c r="D207" s="18">
        <f>IFERROR(VLOOKUP(C207,Alumnos!$A:$B,2,FALSE),"")</f>
        <v/>
      </c>
      <c r="N207" s="20">
        <f>IF(OR(F207="",I207="",J207="Reprogramada"),"",I207*IFERROR(VLOOKUP(F207,Tutores!$A:$F,6,FALSE),0))</f>
        <v/>
      </c>
    </row>
    <row r="208">
      <c r="A208" s="19" t="n"/>
      <c r="B208" s="23" t="n"/>
      <c r="D208" s="18">
        <f>IFERROR(VLOOKUP(C208,Alumnos!$A:$B,2,FALSE),"")</f>
        <v/>
      </c>
      <c r="N208" s="20">
        <f>IF(OR(F208="",I208="",J208="Reprogramada"),"",I208*IFERROR(VLOOKUP(F208,Tutores!$A:$F,6,FALSE),0))</f>
        <v/>
      </c>
    </row>
    <row r="209">
      <c r="A209" s="19" t="n"/>
      <c r="B209" s="23" t="n"/>
      <c r="D209" s="18">
        <f>IFERROR(VLOOKUP(C209,Alumnos!$A:$B,2,FALSE),"")</f>
        <v/>
      </c>
      <c r="N209" s="20">
        <f>IF(OR(F209="",I209="",J209="Reprogramada"),"",I209*IFERROR(VLOOKUP(F209,Tutores!$A:$F,6,FALSE),0))</f>
        <v/>
      </c>
    </row>
    <row r="210">
      <c r="A210" s="19" t="n"/>
      <c r="B210" s="23" t="n"/>
      <c r="D210" s="18">
        <f>IFERROR(VLOOKUP(C210,Alumnos!$A:$B,2,FALSE),"")</f>
        <v/>
      </c>
      <c r="N210" s="20">
        <f>IF(OR(F210="",I210="",J210="Reprogramada"),"",I210*IFERROR(VLOOKUP(F210,Tutores!$A:$F,6,FALSE),0))</f>
        <v/>
      </c>
    </row>
    <row r="211">
      <c r="A211" s="19" t="n"/>
      <c r="B211" s="23" t="n"/>
      <c r="D211" s="18">
        <f>IFERROR(VLOOKUP(C211,Alumnos!$A:$B,2,FALSE),"")</f>
        <v/>
      </c>
      <c r="N211" s="20">
        <f>IF(OR(F211="",I211="",J211="Reprogramada"),"",I211*IFERROR(VLOOKUP(F211,Tutores!$A:$F,6,FALSE),0))</f>
        <v/>
      </c>
    </row>
    <row r="212">
      <c r="A212" s="19" t="n"/>
      <c r="B212" s="23" t="n"/>
      <c r="D212" s="18">
        <f>IFERROR(VLOOKUP(C212,Alumnos!$A:$B,2,FALSE),"")</f>
        <v/>
      </c>
      <c r="N212" s="20">
        <f>IF(OR(F212="",I212="",J212="Reprogramada"),"",I212*IFERROR(VLOOKUP(F212,Tutores!$A:$F,6,FALSE),0))</f>
        <v/>
      </c>
    </row>
    <row r="213">
      <c r="A213" s="19" t="n"/>
      <c r="B213" s="23" t="n"/>
      <c r="D213" s="18">
        <f>IFERROR(VLOOKUP(C213,Alumnos!$A:$B,2,FALSE),"")</f>
        <v/>
      </c>
      <c r="N213" s="20">
        <f>IF(OR(F213="",I213="",J213="Reprogramada"),"",I213*IFERROR(VLOOKUP(F213,Tutores!$A:$F,6,FALSE),0))</f>
        <v/>
      </c>
    </row>
    <row r="214">
      <c r="A214" s="19" t="n"/>
      <c r="B214" s="23" t="n"/>
      <c r="D214" s="18">
        <f>IFERROR(VLOOKUP(C214,Alumnos!$A:$B,2,FALSE),"")</f>
        <v/>
      </c>
      <c r="N214" s="20">
        <f>IF(OR(F214="",I214="",J214="Reprogramada"),"",I214*IFERROR(VLOOKUP(F214,Tutores!$A:$F,6,FALSE),0))</f>
        <v/>
      </c>
    </row>
    <row r="215">
      <c r="A215" s="19" t="n"/>
      <c r="B215" s="23" t="n"/>
      <c r="D215" s="18">
        <f>IFERROR(VLOOKUP(C215,Alumnos!$A:$B,2,FALSE),"")</f>
        <v/>
      </c>
      <c r="N215" s="20">
        <f>IF(OR(F215="",I215="",J215="Reprogramada"),"",I215*IFERROR(VLOOKUP(F215,Tutores!$A:$F,6,FALSE),0))</f>
        <v/>
      </c>
    </row>
    <row r="216">
      <c r="A216" s="19" t="n"/>
      <c r="B216" s="23" t="n"/>
      <c r="D216" s="18">
        <f>IFERROR(VLOOKUP(C216,Alumnos!$A:$B,2,FALSE),"")</f>
        <v/>
      </c>
      <c r="N216" s="20">
        <f>IF(OR(F216="",I216="",J216="Reprogramada"),"",I216*IFERROR(VLOOKUP(F216,Tutores!$A:$F,6,FALSE),0))</f>
        <v/>
      </c>
    </row>
    <row r="217">
      <c r="A217" s="19" t="n"/>
      <c r="B217" s="23" t="n"/>
      <c r="D217" s="18">
        <f>IFERROR(VLOOKUP(C217,Alumnos!$A:$B,2,FALSE),"")</f>
        <v/>
      </c>
      <c r="N217" s="20">
        <f>IF(OR(F217="",I217="",J217="Reprogramada"),"",I217*IFERROR(VLOOKUP(F217,Tutores!$A:$F,6,FALSE),0))</f>
        <v/>
      </c>
    </row>
    <row r="218">
      <c r="A218" s="19" t="n"/>
      <c r="B218" s="23" t="n"/>
      <c r="D218" s="18">
        <f>IFERROR(VLOOKUP(C218,Alumnos!$A:$B,2,FALSE),"")</f>
        <v/>
      </c>
      <c r="N218" s="20">
        <f>IF(OR(F218="",I218="",J218="Reprogramada"),"",I218*IFERROR(VLOOKUP(F218,Tutores!$A:$F,6,FALSE),0))</f>
        <v/>
      </c>
    </row>
    <row r="219">
      <c r="A219" s="19" t="n"/>
      <c r="B219" s="23" t="n"/>
      <c r="D219" s="18">
        <f>IFERROR(VLOOKUP(C219,Alumnos!$A:$B,2,FALSE),"")</f>
        <v/>
      </c>
      <c r="N219" s="20">
        <f>IF(OR(F219="",I219="",J219="Reprogramada"),"",I219*IFERROR(VLOOKUP(F219,Tutores!$A:$F,6,FALSE),0))</f>
        <v/>
      </c>
    </row>
    <row r="220">
      <c r="A220" s="19" t="n"/>
      <c r="B220" s="23" t="n"/>
      <c r="D220" s="18">
        <f>IFERROR(VLOOKUP(C220,Alumnos!$A:$B,2,FALSE),"")</f>
        <v/>
      </c>
      <c r="N220" s="20">
        <f>IF(OR(F220="",I220="",J220="Reprogramada"),"",I220*IFERROR(VLOOKUP(F220,Tutores!$A:$F,6,FALSE),0))</f>
        <v/>
      </c>
    </row>
    <row r="221">
      <c r="A221" s="19" t="n"/>
      <c r="B221" s="23" t="n"/>
      <c r="D221" s="18">
        <f>IFERROR(VLOOKUP(C221,Alumnos!$A:$B,2,FALSE),"")</f>
        <v/>
      </c>
      <c r="N221" s="20">
        <f>IF(OR(F221="",I221="",J221="Reprogramada"),"",I221*IFERROR(VLOOKUP(F221,Tutores!$A:$F,6,FALSE),0))</f>
        <v/>
      </c>
    </row>
    <row r="222">
      <c r="A222" s="19" t="n"/>
      <c r="B222" s="23" t="n"/>
      <c r="D222" s="18">
        <f>IFERROR(VLOOKUP(C222,Alumnos!$A:$B,2,FALSE),"")</f>
        <v/>
      </c>
      <c r="N222" s="20">
        <f>IF(OR(F222="",I222="",J222="Reprogramada"),"",I222*IFERROR(VLOOKUP(F222,Tutores!$A:$F,6,FALSE),0))</f>
        <v/>
      </c>
    </row>
    <row r="223">
      <c r="A223" s="19" t="n"/>
      <c r="B223" s="23" t="n"/>
      <c r="D223" s="18">
        <f>IFERROR(VLOOKUP(C223,Alumnos!$A:$B,2,FALSE),"")</f>
        <v/>
      </c>
      <c r="N223" s="20">
        <f>IF(OR(F223="",I223="",J223="Reprogramada"),"",I223*IFERROR(VLOOKUP(F223,Tutores!$A:$F,6,FALSE),0))</f>
        <v/>
      </c>
    </row>
    <row r="224">
      <c r="A224" s="19" t="n"/>
      <c r="B224" s="23" t="n"/>
      <c r="D224" s="18">
        <f>IFERROR(VLOOKUP(C224,Alumnos!$A:$B,2,FALSE),"")</f>
        <v/>
      </c>
      <c r="N224" s="20">
        <f>IF(OR(F224="",I224="",J224="Reprogramada"),"",I224*IFERROR(VLOOKUP(F224,Tutores!$A:$F,6,FALSE),0))</f>
        <v/>
      </c>
    </row>
    <row r="225">
      <c r="A225" s="19" t="n"/>
      <c r="B225" s="23" t="n"/>
      <c r="D225" s="18">
        <f>IFERROR(VLOOKUP(C225,Alumnos!$A:$B,2,FALSE),"")</f>
        <v/>
      </c>
      <c r="N225" s="20">
        <f>IF(OR(F225="",I225="",J225="Reprogramada"),"",I225*IFERROR(VLOOKUP(F225,Tutores!$A:$F,6,FALSE),0))</f>
        <v/>
      </c>
    </row>
    <row r="226">
      <c r="A226" s="19" t="n"/>
      <c r="B226" s="23" t="n"/>
      <c r="D226" s="18">
        <f>IFERROR(VLOOKUP(C226,Alumnos!$A:$B,2,FALSE),"")</f>
        <v/>
      </c>
      <c r="N226" s="20">
        <f>IF(OR(F226="",I226="",J226="Reprogramada"),"",I226*IFERROR(VLOOKUP(F226,Tutores!$A:$F,6,FALSE),0))</f>
        <v/>
      </c>
    </row>
    <row r="227">
      <c r="A227" s="19" t="n"/>
      <c r="B227" s="23" t="n"/>
      <c r="D227" s="18">
        <f>IFERROR(VLOOKUP(C227,Alumnos!$A:$B,2,FALSE),"")</f>
        <v/>
      </c>
      <c r="N227" s="20">
        <f>IF(OR(F227="",I227="",J227="Reprogramada"),"",I227*IFERROR(VLOOKUP(F227,Tutores!$A:$F,6,FALSE),0))</f>
        <v/>
      </c>
    </row>
    <row r="228">
      <c r="A228" s="19" t="n"/>
      <c r="B228" s="23" t="n"/>
      <c r="D228" s="18">
        <f>IFERROR(VLOOKUP(C228,Alumnos!$A:$B,2,FALSE),"")</f>
        <v/>
      </c>
      <c r="N228" s="20">
        <f>IF(OR(F228="",I228="",J228="Reprogramada"),"",I228*IFERROR(VLOOKUP(F228,Tutores!$A:$F,6,FALSE),0))</f>
        <v/>
      </c>
    </row>
    <row r="229">
      <c r="A229" s="19" t="n"/>
      <c r="B229" s="23" t="n"/>
      <c r="D229" s="18">
        <f>IFERROR(VLOOKUP(C229,Alumnos!$A:$B,2,FALSE),"")</f>
        <v/>
      </c>
      <c r="N229" s="20">
        <f>IF(OR(F229="",I229="",J229="Reprogramada"),"",I229*IFERROR(VLOOKUP(F229,Tutores!$A:$F,6,FALSE),0))</f>
        <v/>
      </c>
    </row>
    <row r="230">
      <c r="A230" s="19" t="n"/>
      <c r="B230" s="23" t="n"/>
      <c r="D230" s="18">
        <f>IFERROR(VLOOKUP(C230,Alumnos!$A:$B,2,FALSE),"")</f>
        <v/>
      </c>
      <c r="N230" s="20">
        <f>IF(OR(F230="",I230="",J230="Reprogramada"),"",I230*IFERROR(VLOOKUP(F230,Tutores!$A:$F,6,FALSE),0))</f>
        <v/>
      </c>
    </row>
    <row r="231">
      <c r="A231" s="19" t="n"/>
      <c r="B231" s="23" t="n"/>
      <c r="D231" s="18">
        <f>IFERROR(VLOOKUP(C231,Alumnos!$A:$B,2,FALSE),"")</f>
        <v/>
      </c>
      <c r="N231" s="20">
        <f>IF(OR(F231="",I231="",J231="Reprogramada"),"",I231*IFERROR(VLOOKUP(F231,Tutores!$A:$F,6,FALSE),0))</f>
        <v/>
      </c>
    </row>
    <row r="232">
      <c r="A232" s="19" t="n"/>
      <c r="B232" s="23" t="n"/>
      <c r="D232" s="18">
        <f>IFERROR(VLOOKUP(C232,Alumnos!$A:$B,2,FALSE),"")</f>
        <v/>
      </c>
      <c r="N232" s="20">
        <f>IF(OR(F232="",I232="",J232="Reprogramada"),"",I232*IFERROR(VLOOKUP(F232,Tutores!$A:$F,6,FALSE),0))</f>
        <v/>
      </c>
    </row>
    <row r="233">
      <c r="A233" s="19" t="n"/>
      <c r="B233" s="23" t="n"/>
      <c r="D233" s="18">
        <f>IFERROR(VLOOKUP(C233,Alumnos!$A:$B,2,FALSE),"")</f>
        <v/>
      </c>
      <c r="N233" s="20">
        <f>IF(OR(F233="",I233="",J233="Reprogramada"),"",I233*IFERROR(VLOOKUP(F233,Tutores!$A:$F,6,FALSE),0))</f>
        <v/>
      </c>
    </row>
    <row r="234">
      <c r="A234" s="19" t="n"/>
      <c r="B234" s="23" t="n"/>
      <c r="D234" s="18">
        <f>IFERROR(VLOOKUP(C234,Alumnos!$A:$B,2,FALSE),"")</f>
        <v/>
      </c>
      <c r="N234" s="20">
        <f>IF(OR(F234="",I234="",J234="Reprogramada"),"",I234*IFERROR(VLOOKUP(F234,Tutores!$A:$F,6,FALSE),0))</f>
        <v/>
      </c>
    </row>
    <row r="235">
      <c r="A235" s="19" t="n"/>
      <c r="B235" s="23" t="n"/>
      <c r="D235" s="18">
        <f>IFERROR(VLOOKUP(C235,Alumnos!$A:$B,2,FALSE),"")</f>
        <v/>
      </c>
      <c r="N235" s="20">
        <f>IF(OR(F235="",I235="",J235="Reprogramada"),"",I235*IFERROR(VLOOKUP(F235,Tutores!$A:$F,6,FALSE),0))</f>
        <v/>
      </c>
    </row>
    <row r="236">
      <c r="A236" s="19" t="n"/>
      <c r="B236" s="23" t="n"/>
      <c r="D236" s="18">
        <f>IFERROR(VLOOKUP(C236,Alumnos!$A:$B,2,FALSE),"")</f>
        <v/>
      </c>
      <c r="N236" s="20">
        <f>IF(OR(F236="",I236="",J236="Reprogramada"),"",I236*IFERROR(VLOOKUP(F236,Tutores!$A:$F,6,FALSE),0))</f>
        <v/>
      </c>
    </row>
    <row r="237">
      <c r="A237" s="19" t="n"/>
      <c r="B237" s="23" t="n"/>
      <c r="D237" s="18">
        <f>IFERROR(VLOOKUP(C237,Alumnos!$A:$B,2,FALSE),"")</f>
        <v/>
      </c>
      <c r="N237" s="20">
        <f>IF(OR(F237="",I237="",J237="Reprogramada"),"",I237*IFERROR(VLOOKUP(F237,Tutores!$A:$F,6,FALSE),0))</f>
        <v/>
      </c>
    </row>
    <row r="238">
      <c r="A238" s="19" t="n"/>
      <c r="B238" s="23" t="n"/>
      <c r="D238" s="18">
        <f>IFERROR(VLOOKUP(C238,Alumnos!$A:$B,2,FALSE),"")</f>
        <v/>
      </c>
      <c r="N238" s="20">
        <f>IF(OR(F238="",I238="",J238="Reprogramada"),"",I238*IFERROR(VLOOKUP(F238,Tutores!$A:$F,6,FALSE),0))</f>
        <v/>
      </c>
    </row>
    <row r="239">
      <c r="A239" s="19" t="n"/>
      <c r="B239" s="23" t="n"/>
      <c r="D239" s="18">
        <f>IFERROR(VLOOKUP(C239,Alumnos!$A:$B,2,FALSE),"")</f>
        <v/>
      </c>
      <c r="N239" s="20">
        <f>IF(OR(F239="",I239="",J239="Reprogramada"),"",I239*IFERROR(VLOOKUP(F239,Tutores!$A:$F,6,FALSE),0))</f>
        <v/>
      </c>
    </row>
    <row r="240">
      <c r="A240" s="19" t="n"/>
      <c r="B240" s="23" t="n"/>
      <c r="D240" s="18">
        <f>IFERROR(VLOOKUP(C240,Alumnos!$A:$B,2,FALSE),"")</f>
        <v/>
      </c>
      <c r="N240" s="20">
        <f>IF(OR(F240="",I240="",J240="Reprogramada"),"",I240*IFERROR(VLOOKUP(F240,Tutores!$A:$F,6,FALSE),0))</f>
        <v/>
      </c>
    </row>
    <row r="241">
      <c r="A241" s="19" t="n"/>
      <c r="B241" s="23" t="n"/>
      <c r="D241" s="18">
        <f>IFERROR(VLOOKUP(C241,Alumnos!$A:$B,2,FALSE),"")</f>
        <v/>
      </c>
      <c r="N241" s="20">
        <f>IF(OR(F241="",I241="",J241="Reprogramada"),"",I241*IFERROR(VLOOKUP(F241,Tutores!$A:$F,6,FALSE),0))</f>
        <v/>
      </c>
    </row>
    <row r="242">
      <c r="A242" s="19" t="n"/>
      <c r="B242" s="23" t="n"/>
      <c r="D242" s="18">
        <f>IFERROR(VLOOKUP(C242,Alumnos!$A:$B,2,FALSE),"")</f>
        <v/>
      </c>
      <c r="N242" s="20">
        <f>IF(OR(F242="",I242="",J242="Reprogramada"),"",I242*IFERROR(VLOOKUP(F242,Tutores!$A:$F,6,FALSE),0))</f>
        <v/>
      </c>
    </row>
    <row r="243">
      <c r="A243" s="19" t="n"/>
      <c r="B243" s="23" t="n"/>
      <c r="D243" s="18">
        <f>IFERROR(VLOOKUP(C243,Alumnos!$A:$B,2,FALSE),"")</f>
        <v/>
      </c>
      <c r="N243" s="20">
        <f>IF(OR(F243="",I243="",J243="Reprogramada"),"",I243*IFERROR(VLOOKUP(F243,Tutores!$A:$F,6,FALSE),0))</f>
        <v/>
      </c>
    </row>
    <row r="244">
      <c r="A244" s="19" t="n"/>
      <c r="B244" s="23" t="n"/>
      <c r="D244" s="18">
        <f>IFERROR(VLOOKUP(C244,Alumnos!$A:$B,2,FALSE),"")</f>
        <v/>
      </c>
      <c r="N244" s="20">
        <f>IF(OR(F244="",I244="",J244="Reprogramada"),"",I244*IFERROR(VLOOKUP(F244,Tutores!$A:$F,6,FALSE),0))</f>
        <v/>
      </c>
    </row>
    <row r="245">
      <c r="A245" s="19" t="n"/>
      <c r="B245" s="23" t="n"/>
      <c r="D245" s="18">
        <f>IFERROR(VLOOKUP(C245,Alumnos!$A:$B,2,FALSE),"")</f>
        <v/>
      </c>
      <c r="N245" s="20">
        <f>IF(OR(F245="",I245="",J245="Reprogramada"),"",I245*IFERROR(VLOOKUP(F245,Tutores!$A:$F,6,FALSE),0))</f>
        <v/>
      </c>
    </row>
    <row r="246">
      <c r="A246" s="19" t="n"/>
      <c r="B246" s="23" t="n"/>
      <c r="D246" s="18">
        <f>IFERROR(VLOOKUP(C246,Alumnos!$A:$B,2,FALSE),"")</f>
        <v/>
      </c>
      <c r="N246" s="20">
        <f>IF(OR(F246="",I246="",J246="Reprogramada"),"",I246*IFERROR(VLOOKUP(F246,Tutores!$A:$F,6,FALSE),0))</f>
        <v/>
      </c>
    </row>
    <row r="247">
      <c r="A247" s="19" t="n"/>
      <c r="B247" s="23" t="n"/>
      <c r="D247" s="18">
        <f>IFERROR(VLOOKUP(C247,Alumnos!$A:$B,2,FALSE),"")</f>
        <v/>
      </c>
      <c r="N247" s="20">
        <f>IF(OR(F247="",I247="",J247="Reprogramada"),"",I247*IFERROR(VLOOKUP(F247,Tutores!$A:$F,6,FALSE),0))</f>
        <v/>
      </c>
    </row>
    <row r="248">
      <c r="A248" s="19" t="n"/>
      <c r="B248" s="23" t="n"/>
      <c r="D248" s="18">
        <f>IFERROR(VLOOKUP(C248,Alumnos!$A:$B,2,FALSE),"")</f>
        <v/>
      </c>
      <c r="N248" s="20">
        <f>IF(OR(F248="",I248="",J248="Reprogramada"),"",I248*IFERROR(VLOOKUP(F248,Tutores!$A:$F,6,FALSE),0))</f>
        <v/>
      </c>
    </row>
    <row r="249">
      <c r="A249" s="19" t="n"/>
      <c r="B249" s="23" t="n"/>
      <c r="D249" s="18">
        <f>IFERROR(VLOOKUP(C249,Alumnos!$A:$B,2,FALSE),"")</f>
        <v/>
      </c>
      <c r="N249" s="20">
        <f>IF(OR(F249="",I249="",J249="Reprogramada"),"",I249*IFERROR(VLOOKUP(F249,Tutores!$A:$F,6,FALSE),0))</f>
        <v/>
      </c>
    </row>
    <row r="250">
      <c r="A250" s="19" t="n"/>
      <c r="B250" s="23" t="n"/>
      <c r="D250" s="18">
        <f>IFERROR(VLOOKUP(C250,Alumnos!$A:$B,2,FALSE),"")</f>
        <v/>
      </c>
      <c r="N250" s="20">
        <f>IF(OR(F250="",I250="",J250="Reprogramada"),"",I250*IFERROR(VLOOKUP(F250,Tutores!$A:$F,6,FALSE),0))</f>
        <v/>
      </c>
    </row>
    <row r="251">
      <c r="A251" s="19" t="n"/>
      <c r="B251" s="23" t="n"/>
      <c r="D251" s="18">
        <f>IFERROR(VLOOKUP(C251,Alumnos!$A:$B,2,FALSE),"")</f>
        <v/>
      </c>
      <c r="N251" s="20">
        <f>IF(OR(F251="",I251="",J251="Reprogramada"),"",I251*IFERROR(VLOOKUP(F251,Tutores!$A:$F,6,FALSE),0))</f>
        <v/>
      </c>
    </row>
    <row r="252">
      <c r="A252" s="19" t="n"/>
      <c r="B252" s="23" t="n"/>
      <c r="D252" s="18">
        <f>IFERROR(VLOOKUP(C252,Alumnos!$A:$B,2,FALSE),"")</f>
        <v/>
      </c>
      <c r="N252" s="20">
        <f>IF(OR(F252="",I252="",J252="Reprogramada"),"",I252*IFERROR(VLOOKUP(F252,Tutores!$A:$F,6,FALSE),0))</f>
        <v/>
      </c>
    </row>
    <row r="253">
      <c r="A253" s="19" t="n"/>
      <c r="B253" s="23" t="n"/>
      <c r="D253" s="18">
        <f>IFERROR(VLOOKUP(C253,Alumnos!$A:$B,2,FALSE),"")</f>
        <v/>
      </c>
      <c r="N253" s="20">
        <f>IF(OR(F253="",I253="",J253="Reprogramada"),"",I253*IFERROR(VLOOKUP(F253,Tutores!$A:$F,6,FALSE),0))</f>
        <v/>
      </c>
    </row>
    <row r="254">
      <c r="A254" s="19" t="n"/>
      <c r="B254" s="23" t="n"/>
      <c r="D254" s="18">
        <f>IFERROR(VLOOKUP(C254,Alumnos!$A:$B,2,FALSE),"")</f>
        <v/>
      </c>
      <c r="N254" s="20">
        <f>IF(OR(F254="",I254="",J254="Reprogramada"),"",I254*IFERROR(VLOOKUP(F254,Tutores!$A:$F,6,FALSE),0))</f>
        <v/>
      </c>
    </row>
    <row r="255">
      <c r="A255" s="19" t="n"/>
      <c r="B255" s="23" t="n"/>
      <c r="D255" s="18">
        <f>IFERROR(VLOOKUP(C255,Alumnos!$A:$B,2,FALSE),"")</f>
        <v/>
      </c>
      <c r="N255" s="20">
        <f>IF(OR(F255="",I255="",J255="Reprogramada"),"",I255*IFERROR(VLOOKUP(F255,Tutores!$A:$F,6,FALSE),0))</f>
        <v/>
      </c>
    </row>
    <row r="256">
      <c r="A256" s="19" t="n"/>
      <c r="B256" s="23" t="n"/>
      <c r="D256" s="18">
        <f>IFERROR(VLOOKUP(C256,Alumnos!$A:$B,2,FALSE),"")</f>
        <v/>
      </c>
      <c r="N256" s="20">
        <f>IF(OR(F256="",I256="",J256="Reprogramada"),"",I256*IFERROR(VLOOKUP(F256,Tutores!$A:$F,6,FALSE),0))</f>
        <v/>
      </c>
    </row>
    <row r="257">
      <c r="A257" s="19" t="n"/>
      <c r="B257" s="23" t="n"/>
      <c r="D257" s="18">
        <f>IFERROR(VLOOKUP(C257,Alumnos!$A:$B,2,FALSE),"")</f>
        <v/>
      </c>
      <c r="N257" s="20">
        <f>IF(OR(F257="",I257="",J257="Reprogramada"),"",I257*IFERROR(VLOOKUP(F257,Tutores!$A:$F,6,FALSE),0))</f>
        <v/>
      </c>
    </row>
    <row r="258">
      <c r="A258" s="19" t="n"/>
      <c r="B258" s="23" t="n"/>
      <c r="D258" s="18">
        <f>IFERROR(VLOOKUP(C258,Alumnos!$A:$B,2,FALSE),"")</f>
        <v/>
      </c>
      <c r="N258" s="20">
        <f>IF(OR(F258="",I258="",J258="Reprogramada"),"",I258*IFERROR(VLOOKUP(F258,Tutores!$A:$F,6,FALSE),0))</f>
        <v/>
      </c>
    </row>
    <row r="259">
      <c r="A259" s="19" t="n"/>
      <c r="B259" s="23" t="n"/>
      <c r="D259" s="18">
        <f>IFERROR(VLOOKUP(C259,Alumnos!$A:$B,2,FALSE),"")</f>
        <v/>
      </c>
      <c r="N259" s="20">
        <f>IF(OR(F259="",I259="",J259="Reprogramada"),"",I259*IFERROR(VLOOKUP(F259,Tutores!$A:$F,6,FALSE),0))</f>
        <v/>
      </c>
    </row>
    <row r="260">
      <c r="A260" s="19" t="n"/>
      <c r="B260" s="23" t="n"/>
      <c r="D260" s="18">
        <f>IFERROR(VLOOKUP(C260,Alumnos!$A:$B,2,FALSE),"")</f>
        <v/>
      </c>
      <c r="N260" s="20">
        <f>IF(OR(F260="",I260="",J260="Reprogramada"),"",I260*IFERROR(VLOOKUP(F260,Tutores!$A:$F,6,FALSE),0))</f>
        <v/>
      </c>
    </row>
    <row r="261">
      <c r="A261" s="19" t="n"/>
      <c r="B261" s="23" t="n"/>
      <c r="D261" s="18">
        <f>IFERROR(VLOOKUP(C261,Alumnos!$A:$B,2,FALSE),"")</f>
        <v/>
      </c>
      <c r="N261" s="20">
        <f>IF(OR(F261="",I261="",J261="Reprogramada"),"",I261*IFERROR(VLOOKUP(F261,Tutores!$A:$F,6,FALSE),0))</f>
        <v/>
      </c>
    </row>
    <row r="262">
      <c r="A262" s="19" t="n"/>
      <c r="B262" s="23" t="n"/>
      <c r="D262" s="18">
        <f>IFERROR(VLOOKUP(C262,Alumnos!$A:$B,2,FALSE),"")</f>
        <v/>
      </c>
      <c r="N262" s="20">
        <f>IF(OR(F262="",I262="",J262="Reprogramada"),"",I262*IFERROR(VLOOKUP(F262,Tutores!$A:$F,6,FALSE),0))</f>
        <v/>
      </c>
    </row>
    <row r="263">
      <c r="A263" s="19" t="n"/>
      <c r="B263" s="23" t="n"/>
      <c r="D263" s="18">
        <f>IFERROR(VLOOKUP(C263,Alumnos!$A:$B,2,FALSE),"")</f>
        <v/>
      </c>
      <c r="N263" s="20">
        <f>IF(OR(F263="",I263="",J263="Reprogramada"),"",I263*IFERROR(VLOOKUP(F263,Tutores!$A:$F,6,FALSE),0))</f>
        <v/>
      </c>
    </row>
    <row r="264">
      <c r="A264" s="19" t="n"/>
      <c r="B264" s="23" t="n"/>
      <c r="D264" s="18">
        <f>IFERROR(VLOOKUP(C264,Alumnos!$A:$B,2,FALSE),"")</f>
        <v/>
      </c>
      <c r="N264" s="20">
        <f>IF(OR(F264="",I264="",J264="Reprogramada"),"",I264*IFERROR(VLOOKUP(F264,Tutores!$A:$F,6,FALSE),0))</f>
        <v/>
      </c>
    </row>
    <row r="265">
      <c r="A265" s="19" t="n"/>
      <c r="B265" s="23" t="n"/>
      <c r="D265" s="18">
        <f>IFERROR(VLOOKUP(C265,Alumnos!$A:$B,2,FALSE),"")</f>
        <v/>
      </c>
      <c r="N265" s="20">
        <f>IF(OR(F265="",I265="",J265="Reprogramada"),"",I265*IFERROR(VLOOKUP(F265,Tutores!$A:$F,6,FALSE),0))</f>
        <v/>
      </c>
    </row>
    <row r="266">
      <c r="A266" s="19" t="n"/>
      <c r="B266" s="23" t="n"/>
      <c r="D266" s="18">
        <f>IFERROR(VLOOKUP(C266,Alumnos!$A:$B,2,FALSE),"")</f>
        <v/>
      </c>
      <c r="N266" s="20">
        <f>IF(OR(F266="",I266="",J266="Reprogramada"),"",I266*IFERROR(VLOOKUP(F266,Tutores!$A:$F,6,FALSE),0))</f>
        <v/>
      </c>
    </row>
    <row r="267">
      <c r="A267" s="19" t="n"/>
      <c r="B267" s="23" t="n"/>
      <c r="D267" s="18">
        <f>IFERROR(VLOOKUP(C267,Alumnos!$A:$B,2,FALSE),"")</f>
        <v/>
      </c>
      <c r="N267" s="20">
        <f>IF(OR(F267="",I267="",J267="Reprogramada"),"",I267*IFERROR(VLOOKUP(F267,Tutores!$A:$F,6,FALSE),0))</f>
        <v/>
      </c>
    </row>
    <row r="268">
      <c r="A268" s="19" t="n"/>
      <c r="B268" s="23" t="n"/>
      <c r="D268" s="18">
        <f>IFERROR(VLOOKUP(C268,Alumnos!$A:$B,2,FALSE),"")</f>
        <v/>
      </c>
      <c r="N268" s="20">
        <f>IF(OR(F268="",I268="",J268="Reprogramada"),"",I268*IFERROR(VLOOKUP(F268,Tutores!$A:$F,6,FALSE),0))</f>
        <v/>
      </c>
    </row>
    <row r="269">
      <c r="A269" s="19" t="n"/>
      <c r="B269" s="23" t="n"/>
      <c r="D269" s="18">
        <f>IFERROR(VLOOKUP(C269,Alumnos!$A:$B,2,FALSE),"")</f>
        <v/>
      </c>
      <c r="N269" s="20">
        <f>IF(OR(F269="",I269="",J269="Reprogramada"),"",I269*IFERROR(VLOOKUP(F269,Tutores!$A:$F,6,FALSE),0))</f>
        <v/>
      </c>
    </row>
    <row r="270">
      <c r="A270" s="19" t="n"/>
      <c r="B270" s="23" t="n"/>
      <c r="D270" s="18">
        <f>IFERROR(VLOOKUP(C270,Alumnos!$A:$B,2,FALSE),"")</f>
        <v/>
      </c>
      <c r="N270" s="20">
        <f>IF(OR(F270="",I270="",J270="Reprogramada"),"",I270*IFERROR(VLOOKUP(F270,Tutores!$A:$F,6,FALSE),0))</f>
        <v/>
      </c>
    </row>
    <row r="271">
      <c r="A271" s="19" t="n"/>
      <c r="B271" s="23" t="n"/>
      <c r="D271" s="18">
        <f>IFERROR(VLOOKUP(C271,Alumnos!$A:$B,2,FALSE),"")</f>
        <v/>
      </c>
      <c r="N271" s="20">
        <f>IF(OR(F271="",I271="",J271="Reprogramada"),"",I271*IFERROR(VLOOKUP(F271,Tutores!$A:$F,6,FALSE),0))</f>
        <v/>
      </c>
    </row>
    <row r="272">
      <c r="A272" s="19" t="n"/>
      <c r="B272" s="23" t="n"/>
      <c r="D272" s="18">
        <f>IFERROR(VLOOKUP(C272,Alumnos!$A:$B,2,FALSE),"")</f>
        <v/>
      </c>
      <c r="N272" s="20">
        <f>IF(OR(F272="",I272="",J272="Reprogramada"),"",I272*IFERROR(VLOOKUP(F272,Tutores!$A:$F,6,FALSE),0))</f>
        <v/>
      </c>
    </row>
    <row r="273">
      <c r="A273" s="19" t="n"/>
      <c r="B273" s="23" t="n"/>
      <c r="D273" s="18">
        <f>IFERROR(VLOOKUP(C273,Alumnos!$A:$B,2,FALSE),"")</f>
        <v/>
      </c>
      <c r="N273" s="20">
        <f>IF(OR(F273="",I273="",J273="Reprogramada"),"",I273*IFERROR(VLOOKUP(F273,Tutores!$A:$F,6,FALSE),0))</f>
        <v/>
      </c>
    </row>
    <row r="274">
      <c r="A274" s="19" t="n"/>
      <c r="B274" s="23" t="n"/>
      <c r="D274" s="18">
        <f>IFERROR(VLOOKUP(C274,Alumnos!$A:$B,2,FALSE),"")</f>
        <v/>
      </c>
      <c r="N274" s="20">
        <f>IF(OR(F274="",I274="",J274="Reprogramada"),"",I274*IFERROR(VLOOKUP(F274,Tutores!$A:$F,6,FALSE),0))</f>
        <v/>
      </c>
    </row>
    <row r="275">
      <c r="A275" s="19" t="n"/>
      <c r="B275" s="23" t="n"/>
      <c r="D275" s="18">
        <f>IFERROR(VLOOKUP(C275,Alumnos!$A:$B,2,FALSE),"")</f>
        <v/>
      </c>
      <c r="N275" s="20">
        <f>IF(OR(F275="",I275="",J275="Reprogramada"),"",I275*IFERROR(VLOOKUP(F275,Tutores!$A:$F,6,FALSE),0))</f>
        <v/>
      </c>
    </row>
    <row r="276">
      <c r="A276" s="19" t="n"/>
      <c r="B276" s="23" t="n"/>
      <c r="D276" s="18">
        <f>IFERROR(VLOOKUP(C276,Alumnos!$A:$B,2,FALSE),"")</f>
        <v/>
      </c>
      <c r="N276" s="20">
        <f>IF(OR(F276="",I276="",J276="Reprogramada"),"",I276*IFERROR(VLOOKUP(F276,Tutores!$A:$F,6,FALSE),0))</f>
        <v/>
      </c>
    </row>
    <row r="277">
      <c r="A277" s="19" t="n"/>
      <c r="B277" s="23" t="n"/>
      <c r="D277" s="18">
        <f>IFERROR(VLOOKUP(C277,Alumnos!$A:$B,2,FALSE),"")</f>
        <v/>
      </c>
      <c r="N277" s="20">
        <f>IF(OR(F277="",I277="",J277="Reprogramada"),"",I277*IFERROR(VLOOKUP(F277,Tutores!$A:$F,6,FALSE),0))</f>
        <v/>
      </c>
    </row>
    <row r="278">
      <c r="A278" s="19" t="n"/>
      <c r="B278" s="23" t="n"/>
      <c r="D278" s="18">
        <f>IFERROR(VLOOKUP(C278,Alumnos!$A:$B,2,FALSE),"")</f>
        <v/>
      </c>
      <c r="N278" s="20">
        <f>IF(OR(F278="",I278="",J278="Reprogramada"),"",I278*IFERROR(VLOOKUP(F278,Tutores!$A:$F,6,FALSE),0))</f>
        <v/>
      </c>
    </row>
    <row r="279">
      <c r="A279" s="19" t="n"/>
      <c r="B279" s="23" t="n"/>
      <c r="D279" s="18">
        <f>IFERROR(VLOOKUP(C279,Alumnos!$A:$B,2,FALSE),"")</f>
        <v/>
      </c>
      <c r="N279" s="20">
        <f>IF(OR(F279="",I279="",J279="Reprogramada"),"",I279*IFERROR(VLOOKUP(F279,Tutores!$A:$F,6,FALSE),0))</f>
        <v/>
      </c>
    </row>
    <row r="280">
      <c r="A280" s="19" t="n"/>
      <c r="B280" s="23" t="n"/>
      <c r="D280" s="18">
        <f>IFERROR(VLOOKUP(C280,Alumnos!$A:$B,2,FALSE),"")</f>
        <v/>
      </c>
      <c r="N280" s="20">
        <f>IF(OR(F280="",I280="",J280="Reprogramada"),"",I280*IFERROR(VLOOKUP(F280,Tutores!$A:$F,6,FALSE),0))</f>
        <v/>
      </c>
    </row>
    <row r="281">
      <c r="A281" s="19" t="n"/>
      <c r="B281" s="23" t="n"/>
      <c r="D281" s="18">
        <f>IFERROR(VLOOKUP(C281,Alumnos!$A:$B,2,FALSE),"")</f>
        <v/>
      </c>
      <c r="N281" s="20">
        <f>IF(OR(F281="",I281="",J281="Reprogramada"),"",I281*IFERROR(VLOOKUP(F281,Tutores!$A:$F,6,FALSE),0))</f>
        <v/>
      </c>
    </row>
    <row r="282">
      <c r="A282" s="19" t="n"/>
      <c r="B282" s="23" t="n"/>
      <c r="D282" s="18">
        <f>IFERROR(VLOOKUP(C282,Alumnos!$A:$B,2,FALSE),"")</f>
        <v/>
      </c>
      <c r="N282" s="20">
        <f>IF(OR(F282="",I282="",J282="Reprogramada"),"",I282*IFERROR(VLOOKUP(F282,Tutores!$A:$F,6,FALSE),0))</f>
        <v/>
      </c>
    </row>
    <row r="283">
      <c r="A283" s="19" t="n"/>
      <c r="B283" s="23" t="n"/>
      <c r="D283" s="18">
        <f>IFERROR(VLOOKUP(C283,Alumnos!$A:$B,2,FALSE),"")</f>
        <v/>
      </c>
      <c r="N283" s="20">
        <f>IF(OR(F283="",I283="",J283="Reprogramada"),"",I283*IFERROR(VLOOKUP(F283,Tutores!$A:$F,6,FALSE),0))</f>
        <v/>
      </c>
    </row>
    <row r="284">
      <c r="A284" s="19" t="n"/>
      <c r="B284" s="23" t="n"/>
      <c r="D284" s="18">
        <f>IFERROR(VLOOKUP(C284,Alumnos!$A:$B,2,FALSE),"")</f>
        <v/>
      </c>
      <c r="N284" s="20">
        <f>IF(OR(F284="",I284="",J284="Reprogramada"),"",I284*IFERROR(VLOOKUP(F284,Tutores!$A:$F,6,FALSE),0))</f>
        <v/>
      </c>
    </row>
    <row r="285">
      <c r="A285" s="19" t="n"/>
      <c r="B285" s="23" t="n"/>
      <c r="D285" s="18">
        <f>IFERROR(VLOOKUP(C285,Alumnos!$A:$B,2,FALSE),"")</f>
        <v/>
      </c>
      <c r="N285" s="20">
        <f>IF(OR(F285="",I285="",J285="Reprogramada"),"",I285*IFERROR(VLOOKUP(F285,Tutores!$A:$F,6,FALSE),0))</f>
        <v/>
      </c>
    </row>
    <row r="286">
      <c r="A286" s="19" t="n"/>
      <c r="B286" s="23" t="n"/>
      <c r="D286" s="18">
        <f>IFERROR(VLOOKUP(C286,Alumnos!$A:$B,2,FALSE),"")</f>
        <v/>
      </c>
      <c r="N286" s="20">
        <f>IF(OR(F286="",I286="",J286="Reprogramada"),"",I286*IFERROR(VLOOKUP(F286,Tutores!$A:$F,6,FALSE),0))</f>
        <v/>
      </c>
    </row>
    <row r="287">
      <c r="A287" s="19" t="n"/>
      <c r="B287" s="23" t="n"/>
      <c r="D287" s="18">
        <f>IFERROR(VLOOKUP(C287,Alumnos!$A:$B,2,FALSE),"")</f>
        <v/>
      </c>
      <c r="N287" s="20">
        <f>IF(OR(F287="",I287="",J287="Reprogramada"),"",I287*IFERROR(VLOOKUP(F287,Tutores!$A:$F,6,FALSE),0))</f>
        <v/>
      </c>
    </row>
    <row r="288">
      <c r="A288" s="19" t="n"/>
      <c r="B288" s="23" t="n"/>
      <c r="D288" s="18">
        <f>IFERROR(VLOOKUP(C288,Alumnos!$A:$B,2,FALSE),"")</f>
        <v/>
      </c>
      <c r="N288" s="20">
        <f>IF(OR(F288="",I288="",J288="Reprogramada"),"",I288*IFERROR(VLOOKUP(F288,Tutores!$A:$F,6,FALSE),0))</f>
        <v/>
      </c>
    </row>
    <row r="289">
      <c r="A289" s="19" t="n"/>
      <c r="B289" s="23" t="n"/>
      <c r="D289" s="18">
        <f>IFERROR(VLOOKUP(C289,Alumnos!$A:$B,2,FALSE),"")</f>
        <v/>
      </c>
      <c r="N289" s="20">
        <f>IF(OR(F289="",I289="",J289="Reprogramada"),"",I289*IFERROR(VLOOKUP(F289,Tutores!$A:$F,6,FALSE),0))</f>
        <v/>
      </c>
    </row>
    <row r="290">
      <c r="A290" s="19" t="n"/>
      <c r="B290" s="23" t="n"/>
      <c r="D290" s="18">
        <f>IFERROR(VLOOKUP(C290,Alumnos!$A:$B,2,FALSE),"")</f>
        <v/>
      </c>
      <c r="N290" s="20">
        <f>IF(OR(F290="",I290="",J290="Reprogramada"),"",I290*IFERROR(VLOOKUP(F290,Tutores!$A:$F,6,FALSE),0))</f>
        <v/>
      </c>
    </row>
    <row r="291">
      <c r="A291" s="19" t="n"/>
      <c r="B291" s="23" t="n"/>
      <c r="D291" s="18">
        <f>IFERROR(VLOOKUP(C291,Alumnos!$A:$B,2,FALSE),"")</f>
        <v/>
      </c>
      <c r="N291" s="20">
        <f>IF(OR(F291="",I291="",J291="Reprogramada"),"",I291*IFERROR(VLOOKUP(F291,Tutores!$A:$F,6,FALSE),0))</f>
        <v/>
      </c>
    </row>
    <row r="292">
      <c r="A292" s="19" t="n"/>
      <c r="B292" s="23" t="n"/>
      <c r="D292" s="18">
        <f>IFERROR(VLOOKUP(C292,Alumnos!$A:$B,2,FALSE),"")</f>
        <v/>
      </c>
      <c r="N292" s="20">
        <f>IF(OR(F292="",I292="",J292="Reprogramada"),"",I292*IFERROR(VLOOKUP(F292,Tutores!$A:$F,6,FALSE),0))</f>
        <v/>
      </c>
    </row>
    <row r="293">
      <c r="A293" s="19" t="n"/>
      <c r="B293" s="23" t="n"/>
      <c r="D293" s="18">
        <f>IFERROR(VLOOKUP(C293,Alumnos!$A:$B,2,FALSE),"")</f>
        <v/>
      </c>
      <c r="N293" s="20">
        <f>IF(OR(F293="",I293="",J293="Reprogramada"),"",I293*IFERROR(VLOOKUP(F293,Tutores!$A:$F,6,FALSE),0))</f>
        <v/>
      </c>
    </row>
    <row r="294">
      <c r="A294" s="19" t="n"/>
      <c r="B294" s="23" t="n"/>
      <c r="D294" s="18">
        <f>IFERROR(VLOOKUP(C294,Alumnos!$A:$B,2,FALSE),"")</f>
        <v/>
      </c>
      <c r="N294" s="20">
        <f>IF(OR(F294="",I294="",J294="Reprogramada"),"",I294*IFERROR(VLOOKUP(F294,Tutores!$A:$F,6,FALSE),0))</f>
        <v/>
      </c>
    </row>
    <row r="295">
      <c r="A295" s="19" t="n"/>
      <c r="B295" s="23" t="n"/>
      <c r="D295" s="18">
        <f>IFERROR(VLOOKUP(C295,Alumnos!$A:$B,2,FALSE),"")</f>
        <v/>
      </c>
      <c r="N295" s="20">
        <f>IF(OR(F295="",I295="",J295="Reprogramada"),"",I295*IFERROR(VLOOKUP(F295,Tutores!$A:$F,6,FALSE),0))</f>
        <v/>
      </c>
    </row>
    <row r="296">
      <c r="A296" s="19" t="n"/>
      <c r="B296" s="23" t="n"/>
      <c r="D296" s="18">
        <f>IFERROR(VLOOKUP(C296,Alumnos!$A:$B,2,FALSE),"")</f>
        <v/>
      </c>
      <c r="N296" s="20">
        <f>IF(OR(F296="",I296="",J296="Reprogramada"),"",I296*IFERROR(VLOOKUP(F296,Tutores!$A:$F,6,FALSE),0))</f>
        <v/>
      </c>
    </row>
    <row r="297">
      <c r="A297" s="19" t="n"/>
      <c r="B297" s="23" t="n"/>
      <c r="D297" s="18">
        <f>IFERROR(VLOOKUP(C297,Alumnos!$A:$B,2,FALSE),"")</f>
        <v/>
      </c>
      <c r="N297" s="20">
        <f>IF(OR(F297="",I297="",J297="Reprogramada"),"",I297*IFERROR(VLOOKUP(F297,Tutores!$A:$F,6,FALSE),0))</f>
        <v/>
      </c>
    </row>
    <row r="298">
      <c r="A298" s="19" t="n"/>
      <c r="B298" s="23" t="n"/>
      <c r="D298" s="18">
        <f>IFERROR(VLOOKUP(C298,Alumnos!$A:$B,2,FALSE),"")</f>
        <v/>
      </c>
      <c r="N298" s="20">
        <f>IF(OR(F298="",I298="",J298="Reprogramada"),"",I298*IFERROR(VLOOKUP(F298,Tutores!$A:$F,6,FALSE),0))</f>
        <v/>
      </c>
    </row>
    <row r="299">
      <c r="A299" s="19" t="n"/>
      <c r="B299" s="23" t="n"/>
      <c r="D299" s="18">
        <f>IFERROR(VLOOKUP(C299,Alumnos!$A:$B,2,FALSE),"")</f>
        <v/>
      </c>
      <c r="N299" s="20">
        <f>IF(OR(F299="",I299="",J299="Reprogramada"),"",I299*IFERROR(VLOOKUP(F299,Tutores!$A:$F,6,FALSE),0))</f>
        <v/>
      </c>
    </row>
    <row r="300">
      <c r="A300" s="19" t="n"/>
      <c r="B300" s="23" t="n"/>
      <c r="D300" s="18">
        <f>IFERROR(VLOOKUP(C300,Alumnos!$A:$B,2,FALSE),"")</f>
        <v/>
      </c>
      <c r="N300" s="20">
        <f>IF(OR(F300="",I300="",J300="Reprogramada"),"",I300*IFERROR(VLOOKUP(F300,Tutores!$A:$F,6,FALSE),0))</f>
        <v/>
      </c>
    </row>
    <row r="301">
      <c r="A301" s="19" t="n"/>
      <c r="B301" s="23" t="n"/>
      <c r="D301" s="18">
        <f>IFERROR(VLOOKUP(C301,Alumnos!$A:$B,2,FALSE),"")</f>
        <v/>
      </c>
      <c r="N301" s="20">
        <f>IF(OR(F301="",I301="",J301="Reprogramada"),"",I301*IFERROR(VLOOKUP(F301,Tutores!$A:$F,6,FALSE),0))</f>
        <v/>
      </c>
    </row>
    <row r="302">
      <c r="A302" s="19" t="n"/>
      <c r="B302" s="23" t="n"/>
      <c r="D302" s="18">
        <f>IFERROR(VLOOKUP(C302,Alumnos!$A:$B,2,FALSE),"")</f>
        <v/>
      </c>
      <c r="N302" s="20">
        <f>IF(OR(F302="",I302="",J302="Reprogramada"),"",I302*IFERROR(VLOOKUP(F302,Tutores!$A:$F,6,FALSE),0))</f>
        <v/>
      </c>
    </row>
    <row r="303">
      <c r="A303" s="19" t="n"/>
      <c r="B303" s="23" t="n"/>
      <c r="D303" s="18">
        <f>IFERROR(VLOOKUP(C303,Alumnos!$A:$B,2,FALSE),"")</f>
        <v/>
      </c>
      <c r="N303" s="20">
        <f>IF(OR(F303="",I303="",J303="Reprogramada"),"",I303*IFERROR(VLOOKUP(F303,Tutores!$A:$F,6,FALSE),0))</f>
        <v/>
      </c>
    </row>
    <row r="304">
      <c r="A304" s="19" t="n"/>
      <c r="B304" s="23" t="n"/>
      <c r="D304" s="18">
        <f>IFERROR(VLOOKUP(C304,Alumnos!$A:$B,2,FALSE),"")</f>
        <v/>
      </c>
      <c r="N304" s="20">
        <f>IF(OR(F304="",I304="",J304="Reprogramada"),"",I304*IFERROR(VLOOKUP(F304,Tutores!$A:$F,6,FALSE),0))</f>
        <v/>
      </c>
    </row>
    <row r="305">
      <c r="A305" s="19" t="n"/>
      <c r="B305" s="23" t="n"/>
      <c r="D305" s="18">
        <f>IFERROR(VLOOKUP(C305,Alumnos!$A:$B,2,FALSE),"")</f>
        <v/>
      </c>
      <c r="N305" s="20">
        <f>IF(OR(F305="",I305="",J305="Reprogramada"),"",I305*IFERROR(VLOOKUP(F305,Tutores!$A:$F,6,FALSE),0))</f>
        <v/>
      </c>
    </row>
    <row r="306">
      <c r="A306" s="19" t="n"/>
      <c r="B306" s="23" t="n"/>
      <c r="D306" s="18">
        <f>IFERROR(VLOOKUP(C306,Alumnos!$A:$B,2,FALSE),"")</f>
        <v/>
      </c>
      <c r="N306" s="20">
        <f>IF(OR(F306="",I306="",J306="Reprogramada"),"",I306*IFERROR(VLOOKUP(F306,Tutores!$A:$F,6,FALSE),0))</f>
        <v/>
      </c>
    </row>
    <row r="307">
      <c r="A307" s="19" t="n"/>
      <c r="B307" s="23" t="n"/>
      <c r="D307" s="18">
        <f>IFERROR(VLOOKUP(C307,Alumnos!$A:$B,2,FALSE),"")</f>
        <v/>
      </c>
      <c r="N307" s="20">
        <f>IF(OR(F307="",I307="",J307="Reprogramada"),"",I307*IFERROR(VLOOKUP(F307,Tutores!$A:$F,6,FALSE),0))</f>
        <v/>
      </c>
    </row>
    <row r="308">
      <c r="A308" s="19" t="n"/>
      <c r="B308" s="23" t="n"/>
      <c r="D308" s="18">
        <f>IFERROR(VLOOKUP(C308,Alumnos!$A:$B,2,FALSE),"")</f>
        <v/>
      </c>
      <c r="N308" s="20">
        <f>IF(OR(F308="",I308="",J308="Reprogramada"),"",I308*IFERROR(VLOOKUP(F308,Tutores!$A:$F,6,FALSE),0))</f>
        <v/>
      </c>
    </row>
    <row r="309">
      <c r="A309" s="19" t="n"/>
      <c r="B309" s="23" t="n"/>
      <c r="D309" s="18">
        <f>IFERROR(VLOOKUP(C309,Alumnos!$A:$B,2,FALSE),"")</f>
        <v/>
      </c>
      <c r="N309" s="20">
        <f>IF(OR(F309="",I309="",J309="Reprogramada"),"",I309*IFERROR(VLOOKUP(F309,Tutores!$A:$F,6,FALSE),0))</f>
        <v/>
      </c>
    </row>
    <row r="310">
      <c r="A310" s="19" t="n"/>
      <c r="B310" s="23" t="n"/>
      <c r="D310" s="18">
        <f>IFERROR(VLOOKUP(C310,Alumnos!$A:$B,2,FALSE),"")</f>
        <v/>
      </c>
      <c r="N310" s="20">
        <f>IF(OR(F310="",I310="",J310="Reprogramada"),"",I310*IFERROR(VLOOKUP(F310,Tutores!$A:$F,6,FALSE),0))</f>
        <v/>
      </c>
    </row>
    <row r="311">
      <c r="A311" s="19" t="n"/>
      <c r="B311" s="23" t="n"/>
      <c r="D311" s="18">
        <f>IFERROR(VLOOKUP(C311,Alumnos!$A:$B,2,FALSE),"")</f>
        <v/>
      </c>
      <c r="N311" s="20">
        <f>IF(OR(F311="",I311="",J311="Reprogramada"),"",I311*IFERROR(VLOOKUP(F311,Tutores!$A:$F,6,FALSE),0))</f>
        <v/>
      </c>
    </row>
    <row r="312">
      <c r="A312" s="19" t="n"/>
      <c r="B312" s="23" t="n"/>
      <c r="D312" s="18">
        <f>IFERROR(VLOOKUP(C312,Alumnos!$A:$B,2,FALSE),"")</f>
        <v/>
      </c>
      <c r="N312" s="20">
        <f>IF(OR(F312="",I312="",J312="Reprogramada"),"",I312*IFERROR(VLOOKUP(F312,Tutores!$A:$F,6,FALSE),0))</f>
        <v/>
      </c>
    </row>
    <row r="313">
      <c r="A313" s="19" t="n"/>
      <c r="B313" s="23" t="n"/>
      <c r="D313" s="18">
        <f>IFERROR(VLOOKUP(C313,Alumnos!$A:$B,2,FALSE),"")</f>
        <v/>
      </c>
      <c r="N313" s="20">
        <f>IF(OR(F313="",I313="",J313="Reprogramada"),"",I313*IFERROR(VLOOKUP(F313,Tutores!$A:$F,6,FALSE),0))</f>
        <v/>
      </c>
    </row>
    <row r="314">
      <c r="A314" s="19" t="n"/>
      <c r="B314" s="23" t="n"/>
      <c r="D314" s="18">
        <f>IFERROR(VLOOKUP(C314,Alumnos!$A:$B,2,FALSE),"")</f>
        <v/>
      </c>
      <c r="N314" s="20">
        <f>IF(OR(F314="",I314="",J314="Reprogramada"),"",I314*IFERROR(VLOOKUP(F314,Tutores!$A:$F,6,FALSE),0))</f>
        <v/>
      </c>
    </row>
    <row r="315">
      <c r="A315" s="19" t="n"/>
      <c r="B315" s="23" t="n"/>
      <c r="D315" s="18">
        <f>IFERROR(VLOOKUP(C315,Alumnos!$A:$B,2,FALSE),"")</f>
        <v/>
      </c>
      <c r="N315" s="20">
        <f>IF(OR(F315="",I315="",J315="Reprogramada"),"",I315*IFERROR(VLOOKUP(F315,Tutores!$A:$F,6,FALSE),0))</f>
        <v/>
      </c>
    </row>
    <row r="316">
      <c r="A316" s="19" t="n"/>
      <c r="B316" s="23" t="n"/>
      <c r="D316" s="18">
        <f>IFERROR(VLOOKUP(C316,Alumnos!$A:$B,2,FALSE),"")</f>
        <v/>
      </c>
      <c r="N316" s="20">
        <f>IF(OR(F316="",I316="",J316="Reprogramada"),"",I316*IFERROR(VLOOKUP(F316,Tutores!$A:$F,6,FALSE),0))</f>
        <v/>
      </c>
    </row>
    <row r="317">
      <c r="A317" s="19" t="n"/>
      <c r="B317" s="23" t="n"/>
      <c r="D317" s="18">
        <f>IFERROR(VLOOKUP(C317,Alumnos!$A:$B,2,FALSE),"")</f>
        <v/>
      </c>
      <c r="N317" s="20">
        <f>IF(OR(F317="",I317="",J317="Reprogramada"),"",I317*IFERROR(VLOOKUP(F317,Tutores!$A:$F,6,FALSE),0))</f>
        <v/>
      </c>
    </row>
    <row r="318">
      <c r="A318" s="19" t="n"/>
      <c r="B318" s="23" t="n"/>
      <c r="D318" s="18">
        <f>IFERROR(VLOOKUP(C318,Alumnos!$A:$B,2,FALSE),"")</f>
        <v/>
      </c>
      <c r="N318" s="20">
        <f>IF(OR(F318="",I318="",J318="Reprogramada"),"",I318*IFERROR(VLOOKUP(F318,Tutores!$A:$F,6,FALSE),0))</f>
        <v/>
      </c>
    </row>
    <row r="319">
      <c r="A319" s="19" t="n"/>
      <c r="B319" s="23" t="n"/>
      <c r="D319" s="18">
        <f>IFERROR(VLOOKUP(C319,Alumnos!$A:$B,2,FALSE),"")</f>
        <v/>
      </c>
      <c r="N319" s="20">
        <f>IF(OR(F319="",I319="",J319="Reprogramada"),"",I319*IFERROR(VLOOKUP(F319,Tutores!$A:$F,6,FALSE),0))</f>
        <v/>
      </c>
    </row>
    <row r="320">
      <c r="A320" s="19" t="n"/>
      <c r="B320" s="23" t="n"/>
      <c r="D320" s="18">
        <f>IFERROR(VLOOKUP(C320,Alumnos!$A:$B,2,FALSE),"")</f>
        <v/>
      </c>
      <c r="N320" s="20">
        <f>IF(OR(F320="",I320="",J320="Reprogramada"),"",I320*IFERROR(VLOOKUP(F320,Tutores!$A:$F,6,FALSE),0))</f>
        <v/>
      </c>
    </row>
    <row r="321">
      <c r="A321" s="19" t="n"/>
      <c r="B321" s="23" t="n"/>
      <c r="D321" s="18">
        <f>IFERROR(VLOOKUP(C321,Alumnos!$A:$B,2,FALSE),"")</f>
        <v/>
      </c>
      <c r="N321" s="20">
        <f>IF(OR(F321="",I321="",J321="Reprogramada"),"",I321*IFERROR(VLOOKUP(F321,Tutores!$A:$F,6,FALSE),0))</f>
        <v/>
      </c>
    </row>
    <row r="322">
      <c r="A322" s="19" t="n"/>
      <c r="B322" s="23" t="n"/>
      <c r="D322" s="18">
        <f>IFERROR(VLOOKUP(C322,Alumnos!$A:$B,2,FALSE),"")</f>
        <v/>
      </c>
      <c r="N322" s="20">
        <f>IF(OR(F322="",I322="",J322="Reprogramada"),"",I322*IFERROR(VLOOKUP(F322,Tutores!$A:$F,6,FALSE),0))</f>
        <v/>
      </c>
    </row>
    <row r="323">
      <c r="A323" s="19" t="n"/>
      <c r="B323" s="23" t="n"/>
      <c r="D323" s="18">
        <f>IFERROR(VLOOKUP(C323,Alumnos!$A:$B,2,FALSE),"")</f>
        <v/>
      </c>
      <c r="N323" s="20">
        <f>IF(OR(F323="",I323="",J323="Reprogramada"),"",I323*IFERROR(VLOOKUP(F323,Tutores!$A:$F,6,FALSE),0))</f>
        <v/>
      </c>
    </row>
    <row r="324">
      <c r="A324" s="19" t="n"/>
      <c r="B324" s="23" t="n"/>
      <c r="D324" s="18">
        <f>IFERROR(VLOOKUP(C324,Alumnos!$A:$B,2,FALSE),"")</f>
        <v/>
      </c>
      <c r="N324" s="20">
        <f>IF(OR(F324="",I324="",J324="Reprogramada"),"",I324*IFERROR(VLOOKUP(F324,Tutores!$A:$F,6,FALSE),0))</f>
        <v/>
      </c>
    </row>
    <row r="325">
      <c r="A325" s="19" t="n"/>
      <c r="B325" s="23" t="n"/>
      <c r="D325" s="18">
        <f>IFERROR(VLOOKUP(C325,Alumnos!$A:$B,2,FALSE),"")</f>
        <v/>
      </c>
      <c r="N325" s="20">
        <f>IF(OR(F325="",I325="",J325="Reprogramada"),"",I325*IFERROR(VLOOKUP(F325,Tutores!$A:$F,6,FALSE),0))</f>
        <v/>
      </c>
    </row>
    <row r="326">
      <c r="A326" s="19" t="n"/>
      <c r="B326" s="23" t="n"/>
      <c r="D326" s="18">
        <f>IFERROR(VLOOKUP(C326,Alumnos!$A:$B,2,FALSE),"")</f>
        <v/>
      </c>
      <c r="N326" s="20">
        <f>IF(OR(F326="",I326="",J326="Reprogramada"),"",I326*IFERROR(VLOOKUP(F326,Tutores!$A:$F,6,FALSE),0))</f>
        <v/>
      </c>
    </row>
    <row r="327">
      <c r="A327" s="19" t="n"/>
      <c r="B327" s="23" t="n"/>
      <c r="D327" s="18">
        <f>IFERROR(VLOOKUP(C327,Alumnos!$A:$B,2,FALSE),"")</f>
        <v/>
      </c>
      <c r="N327" s="20">
        <f>IF(OR(F327="",I327="",J327="Reprogramada"),"",I327*IFERROR(VLOOKUP(F327,Tutores!$A:$F,6,FALSE),0))</f>
        <v/>
      </c>
    </row>
    <row r="328">
      <c r="A328" s="19" t="n"/>
      <c r="B328" s="23" t="n"/>
      <c r="D328" s="18">
        <f>IFERROR(VLOOKUP(C328,Alumnos!$A:$B,2,FALSE),"")</f>
        <v/>
      </c>
      <c r="N328" s="20">
        <f>IF(OR(F328="",I328="",J328="Reprogramada"),"",I328*IFERROR(VLOOKUP(F328,Tutores!$A:$F,6,FALSE),0))</f>
        <v/>
      </c>
    </row>
    <row r="329">
      <c r="A329" s="19" t="n"/>
      <c r="B329" s="23" t="n"/>
      <c r="D329" s="18">
        <f>IFERROR(VLOOKUP(C329,Alumnos!$A:$B,2,FALSE),"")</f>
        <v/>
      </c>
      <c r="N329" s="20">
        <f>IF(OR(F329="",I329="",J329="Reprogramada"),"",I329*IFERROR(VLOOKUP(F329,Tutores!$A:$F,6,FALSE),0))</f>
        <v/>
      </c>
    </row>
    <row r="330">
      <c r="A330" s="19" t="n"/>
      <c r="B330" s="23" t="n"/>
      <c r="D330" s="18">
        <f>IFERROR(VLOOKUP(C330,Alumnos!$A:$B,2,FALSE),"")</f>
        <v/>
      </c>
      <c r="N330" s="20">
        <f>IF(OR(F330="",I330="",J330="Reprogramada"),"",I330*IFERROR(VLOOKUP(F330,Tutores!$A:$F,6,FALSE),0))</f>
        <v/>
      </c>
    </row>
    <row r="331">
      <c r="A331" s="19" t="n"/>
      <c r="B331" s="23" t="n"/>
      <c r="D331" s="18">
        <f>IFERROR(VLOOKUP(C331,Alumnos!$A:$B,2,FALSE),"")</f>
        <v/>
      </c>
      <c r="N331" s="20">
        <f>IF(OR(F331="",I331="",J331="Reprogramada"),"",I331*IFERROR(VLOOKUP(F331,Tutores!$A:$F,6,FALSE),0))</f>
        <v/>
      </c>
    </row>
    <row r="332">
      <c r="A332" s="19" t="n"/>
      <c r="B332" s="23" t="n"/>
      <c r="D332" s="18">
        <f>IFERROR(VLOOKUP(C332,Alumnos!$A:$B,2,FALSE),"")</f>
        <v/>
      </c>
      <c r="N332" s="20">
        <f>IF(OR(F332="",I332="",J332="Reprogramada"),"",I332*IFERROR(VLOOKUP(F332,Tutores!$A:$F,6,FALSE),0))</f>
        <v/>
      </c>
    </row>
    <row r="333">
      <c r="A333" s="19" t="n"/>
      <c r="B333" s="23" t="n"/>
      <c r="D333" s="18">
        <f>IFERROR(VLOOKUP(C333,Alumnos!$A:$B,2,FALSE),"")</f>
        <v/>
      </c>
      <c r="N333" s="20">
        <f>IF(OR(F333="",I333="",J333="Reprogramada"),"",I333*IFERROR(VLOOKUP(F333,Tutores!$A:$F,6,FALSE),0))</f>
        <v/>
      </c>
    </row>
    <row r="334">
      <c r="A334" s="19" t="n"/>
      <c r="B334" s="23" t="n"/>
      <c r="D334" s="18">
        <f>IFERROR(VLOOKUP(C334,Alumnos!$A:$B,2,FALSE),"")</f>
        <v/>
      </c>
      <c r="N334" s="20">
        <f>IF(OR(F334="",I334="",J334="Reprogramada"),"",I334*IFERROR(VLOOKUP(F334,Tutores!$A:$F,6,FALSE),0))</f>
        <v/>
      </c>
    </row>
    <row r="335">
      <c r="A335" s="19" t="n"/>
      <c r="B335" s="23" t="n"/>
      <c r="D335" s="18">
        <f>IFERROR(VLOOKUP(C335,Alumnos!$A:$B,2,FALSE),"")</f>
        <v/>
      </c>
      <c r="N335" s="20">
        <f>IF(OR(F335="",I335="",J335="Reprogramada"),"",I335*IFERROR(VLOOKUP(F335,Tutores!$A:$F,6,FALSE),0))</f>
        <v/>
      </c>
    </row>
    <row r="336">
      <c r="A336" s="19" t="n"/>
      <c r="B336" s="23" t="n"/>
      <c r="D336" s="18">
        <f>IFERROR(VLOOKUP(C336,Alumnos!$A:$B,2,FALSE),"")</f>
        <v/>
      </c>
      <c r="N336" s="20">
        <f>IF(OR(F336="",I336="",J336="Reprogramada"),"",I336*IFERROR(VLOOKUP(F336,Tutores!$A:$F,6,FALSE),0))</f>
        <v/>
      </c>
    </row>
    <row r="337">
      <c r="A337" s="19" t="n"/>
      <c r="B337" s="23" t="n"/>
      <c r="D337" s="18">
        <f>IFERROR(VLOOKUP(C337,Alumnos!$A:$B,2,FALSE),"")</f>
        <v/>
      </c>
      <c r="N337" s="20">
        <f>IF(OR(F337="",I337="",J337="Reprogramada"),"",I337*IFERROR(VLOOKUP(F337,Tutores!$A:$F,6,FALSE),0))</f>
        <v/>
      </c>
    </row>
    <row r="338">
      <c r="A338" s="19" t="n"/>
      <c r="B338" s="23" t="n"/>
      <c r="D338" s="18">
        <f>IFERROR(VLOOKUP(C338,Alumnos!$A:$B,2,FALSE),"")</f>
        <v/>
      </c>
      <c r="N338" s="20">
        <f>IF(OR(F338="",I338="",J338="Reprogramada"),"",I338*IFERROR(VLOOKUP(F338,Tutores!$A:$F,6,FALSE),0))</f>
        <v/>
      </c>
    </row>
    <row r="339">
      <c r="A339" s="19" t="n"/>
      <c r="B339" s="23" t="n"/>
      <c r="D339" s="18">
        <f>IFERROR(VLOOKUP(C339,Alumnos!$A:$B,2,FALSE),"")</f>
        <v/>
      </c>
      <c r="N339" s="20">
        <f>IF(OR(F339="",I339="",J339="Reprogramada"),"",I339*IFERROR(VLOOKUP(F339,Tutores!$A:$F,6,FALSE),0))</f>
        <v/>
      </c>
    </row>
    <row r="340">
      <c r="A340" s="19" t="n"/>
      <c r="B340" s="23" t="n"/>
      <c r="D340" s="18">
        <f>IFERROR(VLOOKUP(C340,Alumnos!$A:$B,2,FALSE),"")</f>
        <v/>
      </c>
      <c r="N340" s="20">
        <f>IF(OR(F340="",I340="",J340="Reprogramada"),"",I340*IFERROR(VLOOKUP(F340,Tutores!$A:$F,6,FALSE),0))</f>
        <v/>
      </c>
    </row>
    <row r="341">
      <c r="A341" s="19" t="n"/>
      <c r="B341" s="23" t="n"/>
      <c r="D341" s="18">
        <f>IFERROR(VLOOKUP(C341,Alumnos!$A:$B,2,FALSE),"")</f>
        <v/>
      </c>
      <c r="N341" s="20">
        <f>IF(OR(F341="",I341="",J341="Reprogramada"),"",I341*IFERROR(VLOOKUP(F341,Tutores!$A:$F,6,FALSE),0))</f>
        <v/>
      </c>
    </row>
    <row r="342">
      <c r="A342" s="19" t="n"/>
      <c r="B342" s="23" t="n"/>
      <c r="D342" s="18">
        <f>IFERROR(VLOOKUP(C342,Alumnos!$A:$B,2,FALSE),"")</f>
        <v/>
      </c>
      <c r="N342" s="20">
        <f>IF(OR(F342="",I342="",J342="Reprogramada"),"",I342*IFERROR(VLOOKUP(F342,Tutores!$A:$F,6,FALSE),0))</f>
        <v/>
      </c>
    </row>
    <row r="343">
      <c r="A343" s="19" t="n"/>
      <c r="B343" s="23" t="n"/>
      <c r="D343" s="18">
        <f>IFERROR(VLOOKUP(C343,Alumnos!$A:$B,2,FALSE),"")</f>
        <v/>
      </c>
      <c r="N343" s="20">
        <f>IF(OR(F343="",I343="",J343="Reprogramada"),"",I343*IFERROR(VLOOKUP(F343,Tutores!$A:$F,6,FALSE),0))</f>
        <v/>
      </c>
    </row>
    <row r="344">
      <c r="A344" s="19" t="n"/>
      <c r="B344" s="23" t="n"/>
      <c r="D344" s="18">
        <f>IFERROR(VLOOKUP(C344,Alumnos!$A:$B,2,FALSE),"")</f>
        <v/>
      </c>
      <c r="N344" s="20">
        <f>IF(OR(F344="",I344="",J344="Reprogramada"),"",I344*IFERROR(VLOOKUP(F344,Tutores!$A:$F,6,FALSE),0))</f>
        <v/>
      </c>
    </row>
    <row r="345">
      <c r="A345" s="19" t="n"/>
      <c r="B345" s="23" t="n"/>
      <c r="D345" s="18">
        <f>IFERROR(VLOOKUP(C345,Alumnos!$A:$B,2,FALSE),"")</f>
        <v/>
      </c>
      <c r="N345" s="20">
        <f>IF(OR(F345="",I345="",J345="Reprogramada"),"",I345*IFERROR(VLOOKUP(F345,Tutores!$A:$F,6,FALSE),0))</f>
        <v/>
      </c>
    </row>
    <row r="346">
      <c r="A346" s="19" t="n"/>
      <c r="B346" s="23" t="n"/>
      <c r="D346" s="18">
        <f>IFERROR(VLOOKUP(C346,Alumnos!$A:$B,2,FALSE),"")</f>
        <v/>
      </c>
      <c r="N346" s="20">
        <f>IF(OR(F346="",I346="",J346="Reprogramada"),"",I346*IFERROR(VLOOKUP(F346,Tutores!$A:$F,6,FALSE),0))</f>
        <v/>
      </c>
    </row>
    <row r="347">
      <c r="A347" s="19" t="n"/>
      <c r="B347" s="23" t="n"/>
      <c r="D347" s="18">
        <f>IFERROR(VLOOKUP(C347,Alumnos!$A:$B,2,FALSE),"")</f>
        <v/>
      </c>
      <c r="N347" s="20">
        <f>IF(OR(F347="",I347="",J347="Reprogramada"),"",I347*IFERROR(VLOOKUP(F347,Tutores!$A:$F,6,FALSE),0))</f>
        <v/>
      </c>
    </row>
    <row r="348">
      <c r="A348" s="19" t="n"/>
      <c r="B348" s="23" t="n"/>
      <c r="D348" s="18">
        <f>IFERROR(VLOOKUP(C348,Alumnos!$A:$B,2,FALSE),"")</f>
        <v/>
      </c>
      <c r="N348" s="20">
        <f>IF(OR(F348="",I348="",J348="Reprogramada"),"",I348*IFERROR(VLOOKUP(F348,Tutores!$A:$F,6,FALSE),0))</f>
        <v/>
      </c>
    </row>
    <row r="349">
      <c r="A349" s="19" t="n"/>
      <c r="B349" s="23" t="n"/>
      <c r="D349" s="18">
        <f>IFERROR(VLOOKUP(C349,Alumnos!$A:$B,2,FALSE),"")</f>
        <v/>
      </c>
      <c r="N349" s="20">
        <f>IF(OR(F349="",I349="",J349="Reprogramada"),"",I349*IFERROR(VLOOKUP(F349,Tutores!$A:$F,6,FALSE),0))</f>
        <v/>
      </c>
    </row>
    <row r="350">
      <c r="A350" s="19" t="n"/>
      <c r="B350" s="23" t="n"/>
      <c r="D350" s="18">
        <f>IFERROR(VLOOKUP(C350,Alumnos!$A:$B,2,FALSE),"")</f>
        <v/>
      </c>
      <c r="N350" s="20">
        <f>IF(OR(F350="",I350="",J350="Reprogramada"),"",I350*IFERROR(VLOOKUP(F350,Tutores!$A:$F,6,FALSE),0))</f>
        <v/>
      </c>
    </row>
    <row r="351">
      <c r="A351" s="19" t="n"/>
      <c r="B351" s="23" t="n"/>
      <c r="D351" s="18">
        <f>IFERROR(VLOOKUP(C351,Alumnos!$A:$B,2,FALSE),"")</f>
        <v/>
      </c>
      <c r="N351" s="20">
        <f>IF(OR(F351="",I351="",J351="Reprogramada"),"",I351*IFERROR(VLOOKUP(F351,Tutores!$A:$F,6,FALSE),0))</f>
        <v/>
      </c>
    </row>
    <row r="352">
      <c r="A352" s="19" t="n"/>
      <c r="B352" s="23" t="n"/>
      <c r="D352" s="18">
        <f>IFERROR(VLOOKUP(C352,Alumnos!$A:$B,2,FALSE),"")</f>
        <v/>
      </c>
      <c r="N352" s="20">
        <f>IF(OR(F352="",I352="",J352="Reprogramada"),"",I352*IFERROR(VLOOKUP(F352,Tutores!$A:$F,6,FALSE),0))</f>
        <v/>
      </c>
    </row>
    <row r="353">
      <c r="A353" s="19" t="n"/>
      <c r="B353" s="23" t="n"/>
      <c r="D353" s="18">
        <f>IFERROR(VLOOKUP(C353,Alumnos!$A:$B,2,FALSE),"")</f>
        <v/>
      </c>
      <c r="N353" s="20">
        <f>IF(OR(F353="",I353="",J353="Reprogramada"),"",I353*IFERROR(VLOOKUP(F353,Tutores!$A:$F,6,FALSE),0))</f>
        <v/>
      </c>
    </row>
    <row r="354">
      <c r="A354" s="19" t="n"/>
      <c r="B354" s="23" t="n"/>
      <c r="D354" s="18">
        <f>IFERROR(VLOOKUP(C354,Alumnos!$A:$B,2,FALSE),"")</f>
        <v/>
      </c>
      <c r="N354" s="20">
        <f>IF(OR(F354="",I354="",J354="Reprogramada"),"",I354*IFERROR(VLOOKUP(F354,Tutores!$A:$F,6,FALSE),0))</f>
        <v/>
      </c>
    </row>
    <row r="355">
      <c r="A355" s="19" t="n"/>
      <c r="B355" s="23" t="n"/>
      <c r="D355" s="18">
        <f>IFERROR(VLOOKUP(C355,Alumnos!$A:$B,2,FALSE),"")</f>
        <v/>
      </c>
      <c r="N355" s="20">
        <f>IF(OR(F355="",I355="",J355="Reprogramada"),"",I355*IFERROR(VLOOKUP(F355,Tutores!$A:$F,6,FALSE),0))</f>
        <v/>
      </c>
    </row>
    <row r="356">
      <c r="A356" s="19" t="n"/>
      <c r="B356" s="23" t="n"/>
      <c r="D356" s="18">
        <f>IFERROR(VLOOKUP(C356,Alumnos!$A:$B,2,FALSE),"")</f>
        <v/>
      </c>
      <c r="N356" s="20">
        <f>IF(OR(F356="",I356="",J356="Reprogramada"),"",I356*IFERROR(VLOOKUP(F356,Tutores!$A:$F,6,FALSE),0))</f>
        <v/>
      </c>
    </row>
    <row r="357">
      <c r="A357" s="19" t="n"/>
      <c r="B357" s="23" t="n"/>
      <c r="D357" s="18">
        <f>IFERROR(VLOOKUP(C357,Alumnos!$A:$B,2,FALSE),"")</f>
        <v/>
      </c>
      <c r="N357" s="20">
        <f>IF(OR(F357="",I357="",J357="Reprogramada"),"",I357*IFERROR(VLOOKUP(F357,Tutores!$A:$F,6,FALSE),0))</f>
        <v/>
      </c>
    </row>
    <row r="358">
      <c r="A358" s="19" t="n"/>
      <c r="B358" s="23" t="n"/>
      <c r="D358" s="18">
        <f>IFERROR(VLOOKUP(C358,Alumnos!$A:$B,2,FALSE),"")</f>
        <v/>
      </c>
      <c r="N358" s="20">
        <f>IF(OR(F358="",I358="",J358="Reprogramada"),"",I358*IFERROR(VLOOKUP(F358,Tutores!$A:$F,6,FALSE),0))</f>
        <v/>
      </c>
    </row>
    <row r="359">
      <c r="A359" s="19" t="n"/>
      <c r="B359" s="23" t="n"/>
      <c r="D359" s="18">
        <f>IFERROR(VLOOKUP(C359,Alumnos!$A:$B,2,FALSE),"")</f>
        <v/>
      </c>
      <c r="N359" s="20">
        <f>IF(OR(F359="",I359="",J359="Reprogramada"),"",I359*IFERROR(VLOOKUP(F359,Tutores!$A:$F,6,FALSE),0))</f>
        <v/>
      </c>
    </row>
    <row r="360">
      <c r="A360" s="19" t="n"/>
      <c r="B360" s="23" t="n"/>
      <c r="D360" s="18">
        <f>IFERROR(VLOOKUP(C360,Alumnos!$A:$B,2,FALSE),"")</f>
        <v/>
      </c>
      <c r="N360" s="20">
        <f>IF(OR(F360="",I360="",J360="Reprogramada"),"",I360*IFERROR(VLOOKUP(F360,Tutores!$A:$F,6,FALSE),0))</f>
        <v/>
      </c>
    </row>
    <row r="361">
      <c r="A361" s="19" t="n"/>
      <c r="B361" s="23" t="n"/>
      <c r="D361" s="18">
        <f>IFERROR(VLOOKUP(C361,Alumnos!$A:$B,2,FALSE),"")</f>
        <v/>
      </c>
      <c r="N361" s="20">
        <f>IF(OR(F361="",I361="",J361="Reprogramada"),"",I361*IFERROR(VLOOKUP(F361,Tutores!$A:$F,6,FALSE),0))</f>
        <v/>
      </c>
    </row>
    <row r="362">
      <c r="A362" s="19" t="n"/>
      <c r="B362" s="23" t="n"/>
      <c r="D362" s="18">
        <f>IFERROR(VLOOKUP(C362,Alumnos!$A:$B,2,FALSE),"")</f>
        <v/>
      </c>
      <c r="N362" s="20">
        <f>IF(OR(F362="",I362="",J362="Reprogramada"),"",I362*IFERROR(VLOOKUP(F362,Tutores!$A:$F,6,FALSE),0))</f>
        <v/>
      </c>
    </row>
    <row r="363">
      <c r="A363" s="19" t="n"/>
      <c r="B363" s="23" t="n"/>
      <c r="D363" s="18">
        <f>IFERROR(VLOOKUP(C363,Alumnos!$A:$B,2,FALSE),"")</f>
        <v/>
      </c>
      <c r="N363" s="20">
        <f>IF(OR(F363="",I363="",J363="Reprogramada"),"",I363*IFERROR(VLOOKUP(F363,Tutores!$A:$F,6,FALSE),0))</f>
        <v/>
      </c>
    </row>
    <row r="364">
      <c r="A364" s="19" t="n"/>
      <c r="B364" s="23" t="n"/>
      <c r="D364" s="18">
        <f>IFERROR(VLOOKUP(C364,Alumnos!$A:$B,2,FALSE),"")</f>
        <v/>
      </c>
      <c r="N364" s="20">
        <f>IF(OR(F364="",I364="",J364="Reprogramada"),"",I364*IFERROR(VLOOKUP(F364,Tutores!$A:$F,6,FALSE),0))</f>
        <v/>
      </c>
    </row>
    <row r="365">
      <c r="A365" s="19" t="n"/>
      <c r="B365" s="23" t="n"/>
      <c r="D365" s="18">
        <f>IFERROR(VLOOKUP(C365,Alumnos!$A:$B,2,FALSE),"")</f>
        <v/>
      </c>
      <c r="N365" s="20">
        <f>IF(OR(F365="",I365="",J365="Reprogramada"),"",I365*IFERROR(VLOOKUP(F365,Tutores!$A:$F,6,FALSE),0))</f>
        <v/>
      </c>
    </row>
    <row r="366">
      <c r="A366" s="19" t="n"/>
      <c r="B366" s="23" t="n"/>
      <c r="D366" s="18">
        <f>IFERROR(VLOOKUP(C366,Alumnos!$A:$B,2,FALSE),"")</f>
        <v/>
      </c>
      <c r="N366" s="20">
        <f>IF(OR(F366="",I366="",J366="Reprogramada"),"",I366*IFERROR(VLOOKUP(F366,Tutores!$A:$F,6,FALSE),0))</f>
        <v/>
      </c>
    </row>
    <row r="367">
      <c r="A367" s="19" t="n"/>
      <c r="B367" s="23" t="n"/>
      <c r="D367" s="18">
        <f>IFERROR(VLOOKUP(C367,Alumnos!$A:$B,2,FALSE),"")</f>
        <v/>
      </c>
      <c r="N367" s="20">
        <f>IF(OR(F367="",I367="",J367="Reprogramada"),"",I367*IFERROR(VLOOKUP(F367,Tutores!$A:$F,6,FALSE),0))</f>
        <v/>
      </c>
    </row>
    <row r="368">
      <c r="A368" s="19" t="n"/>
      <c r="B368" s="23" t="n"/>
      <c r="D368" s="18">
        <f>IFERROR(VLOOKUP(C368,Alumnos!$A:$B,2,FALSE),"")</f>
        <v/>
      </c>
      <c r="N368" s="20">
        <f>IF(OR(F368="",I368="",J368="Reprogramada"),"",I368*IFERROR(VLOOKUP(F368,Tutores!$A:$F,6,FALSE),0))</f>
        <v/>
      </c>
    </row>
    <row r="369">
      <c r="A369" s="19" t="n"/>
      <c r="B369" s="23" t="n"/>
      <c r="D369" s="18">
        <f>IFERROR(VLOOKUP(C369,Alumnos!$A:$B,2,FALSE),"")</f>
        <v/>
      </c>
      <c r="N369" s="20">
        <f>IF(OR(F369="",I369="",J369="Reprogramada"),"",I369*IFERROR(VLOOKUP(F369,Tutores!$A:$F,6,FALSE),0))</f>
        <v/>
      </c>
    </row>
    <row r="370">
      <c r="A370" s="19" t="n"/>
      <c r="B370" s="23" t="n"/>
      <c r="D370" s="18">
        <f>IFERROR(VLOOKUP(C370,Alumnos!$A:$B,2,FALSE),"")</f>
        <v/>
      </c>
      <c r="N370" s="20">
        <f>IF(OR(F370="",I370="",J370="Reprogramada"),"",I370*IFERROR(VLOOKUP(F370,Tutores!$A:$F,6,FALSE),0))</f>
        <v/>
      </c>
    </row>
    <row r="371">
      <c r="A371" s="19" t="n"/>
      <c r="B371" s="23" t="n"/>
      <c r="D371" s="18">
        <f>IFERROR(VLOOKUP(C371,Alumnos!$A:$B,2,FALSE),"")</f>
        <v/>
      </c>
      <c r="N371" s="20">
        <f>IF(OR(F371="",I371="",J371="Reprogramada"),"",I371*IFERROR(VLOOKUP(F371,Tutores!$A:$F,6,FALSE),0))</f>
        <v/>
      </c>
    </row>
    <row r="372">
      <c r="A372" s="19" t="n"/>
      <c r="B372" s="23" t="n"/>
      <c r="D372" s="18">
        <f>IFERROR(VLOOKUP(C372,Alumnos!$A:$B,2,FALSE),"")</f>
        <v/>
      </c>
      <c r="N372" s="20">
        <f>IF(OR(F372="",I372="",J372="Reprogramada"),"",I372*IFERROR(VLOOKUP(F372,Tutores!$A:$F,6,FALSE),0))</f>
        <v/>
      </c>
    </row>
    <row r="373">
      <c r="A373" s="19" t="n"/>
      <c r="B373" s="23" t="n"/>
      <c r="D373" s="18">
        <f>IFERROR(VLOOKUP(C373,Alumnos!$A:$B,2,FALSE),"")</f>
        <v/>
      </c>
      <c r="N373" s="20">
        <f>IF(OR(F373="",I373="",J373="Reprogramada"),"",I373*IFERROR(VLOOKUP(F373,Tutores!$A:$F,6,FALSE),0))</f>
        <v/>
      </c>
    </row>
    <row r="374">
      <c r="A374" s="19" t="n"/>
      <c r="B374" s="23" t="n"/>
      <c r="D374" s="18">
        <f>IFERROR(VLOOKUP(C374,Alumnos!$A:$B,2,FALSE),"")</f>
        <v/>
      </c>
      <c r="N374" s="20">
        <f>IF(OR(F374="",I374="",J374="Reprogramada"),"",I374*IFERROR(VLOOKUP(F374,Tutores!$A:$F,6,FALSE),0))</f>
        <v/>
      </c>
    </row>
    <row r="375">
      <c r="A375" s="19" t="n"/>
      <c r="B375" s="23" t="n"/>
      <c r="D375" s="18">
        <f>IFERROR(VLOOKUP(C375,Alumnos!$A:$B,2,FALSE),"")</f>
        <v/>
      </c>
      <c r="N375" s="20">
        <f>IF(OR(F375="",I375="",J375="Reprogramada"),"",I375*IFERROR(VLOOKUP(F375,Tutores!$A:$F,6,FALSE),0))</f>
        <v/>
      </c>
    </row>
    <row r="376">
      <c r="A376" s="19" t="n"/>
      <c r="B376" s="23" t="n"/>
      <c r="D376" s="18">
        <f>IFERROR(VLOOKUP(C376,Alumnos!$A:$B,2,FALSE),"")</f>
        <v/>
      </c>
      <c r="N376" s="20">
        <f>IF(OR(F376="",I376="",J376="Reprogramada"),"",I376*IFERROR(VLOOKUP(F376,Tutores!$A:$F,6,FALSE),0))</f>
        <v/>
      </c>
    </row>
    <row r="377">
      <c r="A377" s="19" t="n"/>
      <c r="B377" s="23" t="n"/>
      <c r="D377" s="18">
        <f>IFERROR(VLOOKUP(C377,Alumnos!$A:$B,2,FALSE),"")</f>
        <v/>
      </c>
      <c r="N377" s="20">
        <f>IF(OR(F377="",I377="",J377="Reprogramada"),"",I377*IFERROR(VLOOKUP(F377,Tutores!$A:$F,6,FALSE),0))</f>
        <v/>
      </c>
    </row>
    <row r="378">
      <c r="A378" s="19" t="n"/>
      <c r="B378" s="23" t="n"/>
      <c r="D378" s="18">
        <f>IFERROR(VLOOKUP(C378,Alumnos!$A:$B,2,FALSE),"")</f>
        <v/>
      </c>
      <c r="N378" s="20">
        <f>IF(OR(F378="",I378="",J378="Reprogramada"),"",I378*IFERROR(VLOOKUP(F378,Tutores!$A:$F,6,FALSE),0))</f>
        <v/>
      </c>
    </row>
    <row r="379">
      <c r="A379" s="19" t="n"/>
      <c r="B379" s="23" t="n"/>
      <c r="D379" s="18">
        <f>IFERROR(VLOOKUP(C379,Alumnos!$A:$B,2,FALSE),"")</f>
        <v/>
      </c>
      <c r="N379" s="20">
        <f>IF(OR(F379="",I379="",J379="Reprogramada"),"",I379*IFERROR(VLOOKUP(F379,Tutores!$A:$F,6,FALSE),0))</f>
        <v/>
      </c>
    </row>
    <row r="380">
      <c r="A380" s="19" t="n"/>
      <c r="B380" s="23" t="n"/>
      <c r="D380" s="18">
        <f>IFERROR(VLOOKUP(C380,Alumnos!$A:$B,2,FALSE),"")</f>
        <v/>
      </c>
      <c r="N380" s="20">
        <f>IF(OR(F380="",I380="",J380="Reprogramada"),"",I380*IFERROR(VLOOKUP(F380,Tutores!$A:$F,6,FALSE),0))</f>
        <v/>
      </c>
    </row>
    <row r="381">
      <c r="A381" s="19" t="n"/>
      <c r="B381" s="23" t="n"/>
      <c r="D381" s="18">
        <f>IFERROR(VLOOKUP(C381,Alumnos!$A:$B,2,FALSE),"")</f>
        <v/>
      </c>
      <c r="N381" s="20">
        <f>IF(OR(F381="",I381="",J381="Reprogramada"),"",I381*IFERROR(VLOOKUP(F381,Tutores!$A:$F,6,FALSE),0))</f>
        <v/>
      </c>
    </row>
    <row r="382">
      <c r="A382" s="19" t="n"/>
      <c r="B382" s="23" t="n"/>
      <c r="D382" s="18">
        <f>IFERROR(VLOOKUP(C382,Alumnos!$A:$B,2,FALSE),"")</f>
        <v/>
      </c>
      <c r="N382" s="20">
        <f>IF(OR(F382="",I382="",J382="Reprogramada"),"",I382*IFERROR(VLOOKUP(F382,Tutores!$A:$F,6,FALSE),0))</f>
        <v/>
      </c>
    </row>
    <row r="383">
      <c r="A383" s="19" t="n"/>
      <c r="B383" s="23" t="n"/>
      <c r="D383" s="18">
        <f>IFERROR(VLOOKUP(C383,Alumnos!$A:$B,2,FALSE),"")</f>
        <v/>
      </c>
      <c r="N383" s="20">
        <f>IF(OR(F383="",I383="",J383="Reprogramada"),"",I383*IFERROR(VLOOKUP(F383,Tutores!$A:$F,6,FALSE),0))</f>
        <v/>
      </c>
    </row>
    <row r="384">
      <c r="A384" s="19" t="n"/>
      <c r="B384" s="23" t="n"/>
      <c r="D384" s="18">
        <f>IFERROR(VLOOKUP(C384,Alumnos!$A:$B,2,FALSE),"")</f>
        <v/>
      </c>
      <c r="N384" s="20">
        <f>IF(OR(F384="",I384="",J384="Reprogramada"),"",I384*IFERROR(VLOOKUP(F384,Tutores!$A:$F,6,FALSE),0))</f>
        <v/>
      </c>
    </row>
    <row r="385">
      <c r="A385" s="19" t="n"/>
      <c r="B385" s="23" t="n"/>
      <c r="D385" s="18">
        <f>IFERROR(VLOOKUP(C385,Alumnos!$A:$B,2,FALSE),"")</f>
        <v/>
      </c>
      <c r="N385" s="20">
        <f>IF(OR(F385="",I385="",J385="Reprogramada"),"",I385*IFERROR(VLOOKUP(F385,Tutores!$A:$F,6,FALSE),0))</f>
        <v/>
      </c>
    </row>
    <row r="386">
      <c r="A386" s="19" t="n"/>
      <c r="B386" s="23" t="n"/>
      <c r="D386" s="18">
        <f>IFERROR(VLOOKUP(C386,Alumnos!$A:$B,2,FALSE),"")</f>
        <v/>
      </c>
      <c r="N386" s="20">
        <f>IF(OR(F386="",I386="",J386="Reprogramada"),"",I386*IFERROR(VLOOKUP(F386,Tutores!$A:$F,6,FALSE),0))</f>
        <v/>
      </c>
    </row>
    <row r="387">
      <c r="A387" s="19" t="n"/>
      <c r="B387" s="23" t="n"/>
      <c r="D387" s="18">
        <f>IFERROR(VLOOKUP(C387,Alumnos!$A:$B,2,FALSE),"")</f>
        <v/>
      </c>
      <c r="N387" s="20">
        <f>IF(OR(F387="",I387="",J387="Reprogramada"),"",I387*IFERROR(VLOOKUP(F387,Tutores!$A:$F,6,FALSE),0))</f>
        <v/>
      </c>
    </row>
    <row r="388">
      <c r="A388" s="19" t="n"/>
      <c r="B388" s="23" t="n"/>
      <c r="D388" s="18">
        <f>IFERROR(VLOOKUP(C388,Alumnos!$A:$B,2,FALSE),"")</f>
        <v/>
      </c>
      <c r="N388" s="20">
        <f>IF(OR(F388="",I388="",J388="Reprogramada"),"",I388*IFERROR(VLOOKUP(F388,Tutores!$A:$F,6,FALSE),0))</f>
        <v/>
      </c>
    </row>
    <row r="389">
      <c r="A389" s="19" t="n"/>
      <c r="B389" s="23" t="n"/>
      <c r="D389" s="18">
        <f>IFERROR(VLOOKUP(C389,Alumnos!$A:$B,2,FALSE),"")</f>
        <v/>
      </c>
      <c r="N389" s="20">
        <f>IF(OR(F389="",I389="",J389="Reprogramada"),"",I389*IFERROR(VLOOKUP(F389,Tutores!$A:$F,6,FALSE),0))</f>
        <v/>
      </c>
    </row>
    <row r="390">
      <c r="A390" s="19" t="n"/>
      <c r="B390" s="23" t="n"/>
      <c r="D390" s="18">
        <f>IFERROR(VLOOKUP(C390,Alumnos!$A:$B,2,FALSE),"")</f>
        <v/>
      </c>
      <c r="N390" s="20">
        <f>IF(OR(F390="",I390="",J390="Reprogramada"),"",I390*IFERROR(VLOOKUP(F390,Tutores!$A:$F,6,FALSE),0))</f>
        <v/>
      </c>
    </row>
    <row r="391">
      <c r="A391" s="19" t="n"/>
      <c r="B391" s="23" t="n"/>
      <c r="D391" s="18">
        <f>IFERROR(VLOOKUP(C391,Alumnos!$A:$B,2,FALSE),"")</f>
        <v/>
      </c>
      <c r="N391" s="20">
        <f>IF(OR(F391="",I391="",J391="Reprogramada"),"",I391*IFERROR(VLOOKUP(F391,Tutores!$A:$F,6,FALSE),0))</f>
        <v/>
      </c>
    </row>
    <row r="392">
      <c r="A392" s="19" t="n"/>
      <c r="B392" s="23" t="n"/>
      <c r="D392" s="18">
        <f>IFERROR(VLOOKUP(C392,Alumnos!$A:$B,2,FALSE),"")</f>
        <v/>
      </c>
      <c r="N392" s="20">
        <f>IF(OR(F392="",I392="",J392="Reprogramada"),"",I392*IFERROR(VLOOKUP(F392,Tutores!$A:$F,6,FALSE),0))</f>
        <v/>
      </c>
    </row>
    <row r="393">
      <c r="A393" s="19" t="n"/>
      <c r="B393" s="23" t="n"/>
      <c r="D393" s="18">
        <f>IFERROR(VLOOKUP(C393,Alumnos!$A:$B,2,FALSE),"")</f>
        <v/>
      </c>
      <c r="N393" s="20">
        <f>IF(OR(F393="",I393="",J393="Reprogramada"),"",I393*IFERROR(VLOOKUP(F393,Tutores!$A:$F,6,FALSE),0))</f>
        <v/>
      </c>
    </row>
    <row r="394">
      <c r="A394" s="19" t="n"/>
      <c r="B394" s="23" t="n"/>
      <c r="D394" s="18">
        <f>IFERROR(VLOOKUP(C394,Alumnos!$A:$B,2,FALSE),"")</f>
        <v/>
      </c>
      <c r="N394" s="20">
        <f>IF(OR(F394="",I394="",J394="Reprogramada"),"",I394*IFERROR(VLOOKUP(F394,Tutores!$A:$F,6,FALSE),0))</f>
        <v/>
      </c>
    </row>
    <row r="395">
      <c r="A395" s="19" t="n"/>
      <c r="B395" s="23" t="n"/>
      <c r="D395" s="18">
        <f>IFERROR(VLOOKUP(C395,Alumnos!$A:$B,2,FALSE),"")</f>
        <v/>
      </c>
      <c r="N395" s="20">
        <f>IF(OR(F395="",I395="",J395="Reprogramada"),"",I395*IFERROR(VLOOKUP(F395,Tutores!$A:$F,6,FALSE),0))</f>
        <v/>
      </c>
    </row>
    <row r="396">
      <c r="A396" s="19" t="n"/>
      <c r="B396" s="23" t="n"/>
      <c r="D396" s="18">
        <f>IFERROR(VLOOKUP(C396,Alumnos!$A:$B,2,FALSE),"")</f>
        <v/>
      </c>
      <c r="N396" s="20">
        <f>IF(OR(F396="",I396="",J396="Reprogramada"),"",I396*IFERROR(VLOOKUP(F396,Tutores!$A:$F,6,FALSE),0))</f>
        <v/>
      </c>
    </row>
    <row r="397">
      <c r="A397" s="19" t="n"/>
      <c r="B397" s="23" t="n"/>
      <c r="D397" s="18">
        <f>IFERROR(VLOOKUP(C397,Alumnos!$A:$B,2,FALSE),"")</f>
        <v/>
      </c>
      <c r="N397" s="20">
        <f>IF(OR(F397="",I397="",J397="Reprogramada"),"",I397*IFERROR(VLOOKUP(F397,Tutores!$A:$F,6,FALSE),0))</f>
        <v/>
      </c>
    </row>
    <row r="398">
      <c r="A398" s="19" t="n"/>
      <c r="B398" s="23" t="n"/>
      <c r="D398" s="18">
        <f>IFERROR(VLOOKUP(C398,Alumnos!$A:$B,2,FALSE),"")</f>
        <v/>
      </c>
      <c r="N398" s="20">
        <f>IF(OR(F398="",I398="",J398="Reprogramada"),"",I398*IFERROR(VLOOKUP(F398,Tutores!$A:$F,6,FALSE),0))</f>
        <v/>
      </c>
    </row>
    <row r="399">
      <c r="A399" s="19" t="n"/>
      <c r="B399" s="23" t="n"/>
      <c r="D399" s="18">
        <f>IFERROR(VLOOKUP(C399,Alumnos!$A:$B,2,FALSE),"")</f>
        <v/>
      </c>
      <c r="N399" s="20">
        <f>IF(OR(F399="",I399="",J399="Reprogramada"),"",I399*IFERROR(VLOOKUP(F399,Tutores!$A:$F,6,FALSE),0))</f>
        <v/>
      </c>
    </row>
    <row r="400">
      <c r="A400" s="19" t="n"/>
      <c r="B400" s="23" t="n"/>
      <c r="D400" s="18">
        <f>IFERROR(VLOOKUP(C400,Alumnos!$A:$B,2,FALSE),"")</f>
        <v/>
      </c>
      <c r="N400" s="20">
        <f>IF(OR(F400="",I400="",J400="Reprogramada"),"",I400*IFERROR(VLOOKUP(F400,Tutores!$A:$F,6,FALSE),0))</f>
        <v/>
      </c>
    </row>
    <row r="401">
      <c r="A401" s="19" t="n"/>
      <c r="B401" s="23" t="n"/>
      <c r="D401" s="18">
        <f>IFERROR(VLOOKUP(C401,Alumnos!$A:$B,2,FALSE),"")</f>
        <v/>
      </c>
      <c r="N401" s="20">
        <f>IF(OR(F401="",I401="",J401="Reprogramada"),"",I401*IFERROR(VLOOKUP(F401,Tutores!$A:$F,6,FALSE),0))</f>
        <v/>
      </c>
    </row>
    <row r="402">
      <c r="A402" s="19" t="n"/>
      <c r="B402" s="23" t="n"/>
      <c r="D402" s="18">
        <f>IFERROR(VLOOKUP(C402,Alumnos!$A:$B,2,FALSE),"")</f>
        <v/>
      </c>
      <c r="N402" s="20">
        <f>IF(OR(F402="",I402="",J402="Reprogramada"),"",I402*IFERROR(VLOOKUP(F402,Tutores!$A:$F,6,FALSE),0))</f>
        <v/>
      </c>
    </row>
    <row r="403">
      <c r="A403" s="19" t="n"/>
      <c r="B403" s="23" t="n"/>
      <c r="D403" s="18">
        <f>IFERROR(VLOOKUP(C403,Alumnos!$A:$B,2,FALSE),"")</f>
        <v/>
      </c>
      <c r="N403" s="20">
        <f>IF(OR(F403="",I403="",J403="Reprogramada"),"",I403*IFERROR(VLOOKUP(F403,Tutores!$A:$F,6,FALSE),0))</f>
        <v/>
      </c>
    </row>
    <row r="404">
      <c r="A404" s="19" t="n"/>
      <c r="B404" s="23" t="n"/>
      <c r="D404" s="18">
        <f>IFERROR(VLOOKUP(C404,Alumnos!$A:$B,2,FALSE),"")</f>
        <v/>
      </c>
      <c r="N404" s="20">
        <f>IF(OR(F404="",I404="",J404="Reprogramada"),"",I404*IFERROR(VLOOKUP(F404,Tutores!$A:$F,6,FALSE),0))</f>
        <v/>
      </c>
    </row>
    <row r="405">
      <c r="A405" s="19" t="n"/>
      <c r="B405" s="23" t="n"/>
      <c r="D405" s="18">
        <f>IFERROR(VLOOKUP(C405,Alumnos!$A:$B,2,FALSE),"")</f>
        <v/>
      </c>
      <c r="N405" s="20">
        <f>IF(OR(F405="",I405="",J405="Reprogramada"),"",I405*IFERROR(VLOOKUP(F405,Tutores!$A:$F,6,FALSE),0))</f>
        <v/>
      </c>
    </row>
    <row r="406">
      <c r="A406" s="19" t="n"/>
      <c r="B406" s="23" t="n"/>
      <c r="D406" s="18">
        <f>IFERROR(VLOOKUP(C406,Alumnos!$A:$B,2,FALSE),"")</f>
        <v/>
      </c>
      <c r="N406" s="20">
        <f>IF(OR(F406="",I406="",J406="Reprogramada"),"",I406*IFERROR(VLOOKUP(F406,Tutores!$A:$F,6,FALSE),0))</f>
        <v/>
      </c>
    </row>
    <row r="407">
      <c r="A407" s="19" t="n"/>
      <c r="B407" s="23" t="n"/>
      <c r="D407" s="18">
        <f>IFERROR(VLOOKUP(C407,Alumnos!$A:$B,2,FALSE),"")</f>
        <v/>
      </c>
      <c r="N407" s="20">
        <f>IF(OR(F407="",I407="",J407="Reprogramada"),"",I407*IFERROR(VLOOKUP(F407,Tutores!$A:$F,6,FALSE),0))</f>
        <v/>
      </c>
    </row>
    <row r="408">
      <c r="A408" s="19" t="n"/>
      <c r="B408" s="23" t="n"/>
      <c r="D408" s="18">
        <f>IFERROR(VLOOKUP(C408,Alumnos!$A:$B,2,FALSE),"")</f>
        <v/>
      </c>
      <c r="N408" s="20">
        <f>IF(OR(F408="",I408="",J408="Reprogramada"),"",I408*IFERROR(VLOOKUP(F408,Tutores!$A:$F,6,FALSE),0))</f>
        <v/>
      </c>
    </row>
    <row r="409">
      <c r="A409" s="19" t="n"/>
      <c r="B409" s="23" t="n"/>
      <c r="D409" s="18">
        <f>IFERROR(VLOOKUP(C409,Alumnos!$A:$B,2,FALSE),"")</f>
        <v/>
      </c>
      <c r="N409" s="20">
        <f>IF(OR(F409="",I409="",J409="Reprogramada"),"",I409*IFERROR(VLOOKUP(F409,Tutores!$A:$F,6,FALSE),0))</f>
        <v/>
      </c>
    </row>
    <row r="410">
      <c r="A410" s="19" t="n"/>
      <c r="B410" s="23" t="n"/>
      <c r="D410" s="18">
        <f>IFERROR(VLOOKUP(C410,Alumnos!$A:$B,2,FALSE),"")</f>
        <v/>
      </c>
      <c r="N410" s="20">
        <f>IF(OR(F410="",I410="",J410="Reprogramada"),"",I410*IFERROR(VLOOKUP(F410,Tutores!$A:$F,6,FALSE),0))</f>
        <v/>
      </c>
    </row>
    <row r="411">
      <c r="A411" s="19" t="n"/>
      <c r="B411" s="23" t="n"/>
      <c r="D411" s="18">
        <f>IFERROR(VLOOKUP(C411,Alumnos!$A:$B,2,FALSE),"")</f>
        <v/>
      </c>
      <c r="N411" s="20">
        <f>IF(OR(F411="",I411="",J411="Reprogramada"),"",I411*IFERROR(VLOOKUP(F411,Tutores!$A:$F,6,FALSE),0))</f>
        <v/>
      </c>
    </row>
    <row r="412">
      <c r="A412" s="19" t="n"/>
      <c r="B412" s="23" t="n"/>
      <c r="D412" s="18">
        <f>IFERROR(VLOOKUP(C412,Alumnos!$A:$B,2,FALSE),"")</f>
        <v/>
      </c>
      <c r="N412" s="20">
        <f>IF(OR(F412="",I412="",J412="Reprogramada"),"",I412*IFERROR(VLOOKUP(F412,Tutores!$A:$F,6,FALSE),0))</f>
        <v/>
      </c>
    </row>
    <row r="413">
      <c r="A413" s="19" t="n"/>
      <c r="B413" s="23" t="n"/>
      <c r="D413" s="18">
        <f>IFERROR(VLOOKUP(C413,Alumnos!$A:$B,2,FALSE),"")</f>
        <v/>
      </c>
      <c r="N413" s="20">
        <f>IF(OR(F413="",I413="",J413="Reprogramada"),"",I413*IFERROR(VLOOKUP(F413,Tutores!$A:$F,6,FALSE),0))</f>
        <v/>
      </c>
    </row>
    <row r="414">
      <c r="A414" s="19" t="n"/>
      <c r="B414" s="23" t="n"/>
      <c r="D414" s="18">
        <f>IFERROR(VLOOKUP(C414,Alumnos!$A:$B,2,FALSE),"")</f>
        <v/>
      </c>
      <c r="N414" s="20">
        <f>IF(OR(F414="",I414="",J414="Reprogramada"),"",I414*IFERROR(VLOOKUP(F414,Tutores!$A:$F,6,FALSE),0))</f>
        <v/>
      </c>
    </row>
    <row r="415">
      <c r="A415" s="19" t="n"/>
      <c r="B415" s="23" t="n"/>
      <c r="D415" s="18">
        <f>IFERROR(VLOOKUP(C415,Alumnos!$A:$B,2,FALSE),"")</f>
        <v/>
      </c>
      <c r="N415" s="20">
        <f>IF(OR(F415="",I415="",J415="Reprogramada"),"",I415*IFERROR(VLOOKUP(F415,Tutores!$A:$F,6,FALSE),0))</f>
        <v/>
      </c>
    </row>
    <row r="416">
      <c r="A416" s="19" t="n"/>
      <c r="B416" s="23" t="n"/>
      <c r="D416" s="18">
        <f>IFERROR(VLOOKUP(C416,Alumnos!$A:$B,2,FALSE),"")</f>
        <v/>
      </c>
      <c r="N416" s="20">
        <f>IF(OR(F416="",I416="",J416="Reprogramada"),"",I416*IFERROR(VLOOKUP(F416,Tutores!$A:$F,6,FALSE),0))</f>
        <v/>
      </c>
    </row>
    <row r="417">
      <c r="A417" s="19" t="n"/>
      <c r="B417" s="23" t="n"/>
      <c r="D417" s="18">
        <f>IFERROR(VLOOKUP(C417,Alumnos!$A:$B,2,FALSE),"")</f>
        <v/>
      </c>
      <c r="N417" s="20">
        <f>IF(OR(F417="",I417="",J417="Reprogramada"),"",I417*IFERROR(VLOOKUP(F417,Tutores!$A:$F,6,FALSE),0))</f>
        <v/>
      </c>
    </row>
    <row r="418">
      <c r="A418" s="19" t="n"/>
      <c r="B418" s="23" t="n"/>
      <c r="D418" s="18">
        <f>IFERROR(VLOOKUP(C418,Alumnos!$A:$B,2,FALSE),"")</f>
        <v/>
      </c>
      <c r="N418" s="20">
        <f>IF(OR(F418="",I418="",J418="Reprogramada"),"",I418*IFERROR(VLOOKUP(F418,Tutores!$A:$F,6,FALSE),0))</f>
        <v/>
      </c>
    </row>
    <row r="419">
      <c r="A419" s="19" t="n"/>
      <c r="B419" s="23" t="n"/>
      <c r="D419" s="18">
        <f>IFERROR(VLOOKUP(C419,Alumnos!$A:$B,2,FALSE),"")</f>
        <v/>
      </c>
      <c r="N419" s="20">
        <f>IF(OR(F419="",I419="",J419="Reprogramada"),"",I419*IFERROR(VLOOKUP(F419,Tutores!$A:$F,6,FALSE),0))</f>
        <v/>
      </c>
    </row>
    <row r="420">
      <c r="A420" s="19" t="n"/>
      <c r="B420" s="23" t="n"/>
      <c r="D420" s="18">
        <f>IFERROR(VLOOKUP(C420,Alumnos!$A:$B,2,FALSE),"")</f>
        <v/>
      </c>
      <c r="N420" s="20">
        <f>IF(OR(F420="",I420="",J420="Reprogramada"),"",I420*IFERROR(VLOOKUP(F420,Tutores!$A:$F,6,FALSE),0))</f>
        <v/>
      </c>
    </row>
    <row r="421">
      <c r="A421" s="19" t="n"/>
      <c r="B421" s="23" t="n"/>
      <c r="D421" s="18">
        <f>IFERROR(VLOOKUP(C421,Alumnos!$A:$B,2,FALSE),"")</f>
        <v/>
      </c>
      <c r="N421" s="20">
        <f>IF(OR(F421="",I421="",J421="Reprogramada"),"",I421*IFERROR(VLOOKUP(F421,Tutores!$A:$F,6,FALSE),0))</f>
        <v/>
      </c>
    </row>
    <row r="422">
      <c r="A422" s="19" t="n"/>
      <c r="B422" s="23" t="n"/>
      <c r="D422" s="18">
        <f>IFERROR(VLOOKUP(C422,Alumnos!$A:$B,2,FALSE),"")</f>
        <v/>
      </c>
      <c r="N422" s="20">
        <f>IF(OR(F422="",I422="",J422="Reprogramada"),"",I422*IFERROR(VLOOKUP(F422,Tutores!$A:$F,6,FALSE),0))</f>
        <v/>
      </c>
    </row>
    <row r="423">
      <c r="A423" s="19" t="n"/>
      <c r="B423" s="23" t="n"/>
      <c r="D423" s="18">
        <f>IFERROR(VLOOKUP(C423,Alumnos!$A:$B,2,FALSE),"")</f>
        <v/>
      </c>
      <c r="N423" s="20">
        <f>IF(OR(F423="",I423="",J423="Reprogramada"),"",I423*IFERROR(VLOOKUP(F423,Tutores!$A:$F,6,FALSE),0))</f>
        <v/>
      </c>
    </row>
    <row r="424">
      <c r="A424" s="19" t="n"/>
      <c r="B424" s="23" t="n"/>
      <c r="D424" s="18">
        <f>IFERROR(VLOOKUP(C424,Alumnos!$A:$B,2,FALSE),"")</f>
        <v/>
      </c>
      <c r="N424" s="20">
        <f>IF(OR(F424="",I424="",J424="Reprogramada"),"",I424*IFERROR(VLOOKUP(F424,Tutores!$A:$F,6,FALSE),0))</f>
        <v/>
      </c>
    </row>
    <row r="425">
      <c r="A425" s="19" t="n"/>
      <c r="B425" s="23" t="n"/>
      <c r="D425" s="18">
        <f>IFERROR(VLOOKUP(C425,Alumnos!$A:$B,2,FALSE),"")</f>
        <v/>
      </c>
      <c r="N425" s="20">
        <f>IF(OR(F425="",I425="",J425="Reprogramada"),"",I425*IFERROR(VLOOKUP(F425,Tutores!$A:$F,6,FALSE),0))</f>
        <v/>
      </c>
    </row>
    <row r="426">
      <c r="A426" s="19" t="n"/>
      <c r="B426" s="23" t="n"/>
      <c r="D426" s="18">
        <f>IFERROR(VLOOKUP(C426,Alumnos!$A:$B,2,FALSE),"")</f>
        <v/>
      </c>
      <c r="N426" s="20">
        <f>IF(OR(F426="",I426="",J426="Reprogramada"),"",I426*IFERROR(VLOOKUP(F426,Tutores!$A:$F,6,FALSE),0))</f>
        <v/>
      </c>
    </row>
    <row r="427">
      <c r="A427" s="19" t="n"/>
      <c r="B427" s="23" t="n"/>
      <c r="D427" s="18">
        <f>IFERROR(VLOOKUP(C427,Alumnos!$A:$B,2,FALSE),"")</f>
        <v/>
      </c>
      <c r="N427" s="20">
        <f>IF(OR(F427="",I427="",J427="Reprogramada"),"",I427*IFERROR(VLOOKUP(F427,Tutores!$A:$F,6,FALSE),0))</f>
        <v/>
      </c>
    </row>
    <row r="428">
      <c r="A428" s="19" t="n"/>
      <c r="B428" s="23" t="n"/>
      <c r="D428" s="18">
        <f>IFERROR(VLOOKUP(C428,Alumnos!$A:$B,2,FALSE),"")</f>
        <v/>
      </c>
      <c r="N428" s="20">
        <f>IF(OR(F428="",I428="",J428="Reprogramada"),"",I428*IFERROR(VLOOKUP(F428,Tutores!$A:$F,6,FALSE),0))</f>
        <v/>
      </c>
    </row>
    <row r="429">
      <c r="A429" s="19" t="n"/>
      <c r="B429" s="23" t="n"/>
      <c r="D429" s="18">
        <f>IFERROR(VLOOKUP(C429,Alumnos!$A:$B,2,FALSE),"")</f>
        <v/>
      </c>
      <c r="N429" s="20">
        <f>IF(OR(F429="",I429="",J429="Reprogramada"),"",I429*IFERROR(VLOOKUP(F429,Tutores!$A:$F,6,FALSE),0))</f>
        <v/>
      </c>
    </row>
    <row r="430">
      <c r="A430" s="19" t="n"/>
      <c r="B430" s="23" t="n"/>
      <c r="D430" s="18">
        <f>IFERROR(VLOOKUP(C430,Alumnos!$A:$B,2,FALSE),"")</f>
        <v/>
      </c>
      <c r="N430" s="20">
        <f>IF(OR(F430="",I430="",J430="Reprogramada"),"",I430*IFERROR(VLOOKUP(F430,Tutores!$A:$F,6,FALSE),0))</f>
        <v/>
      </c>
    </row>
    <row r="431">
      <c r="A431" s="19" t="n"/>
      <c r="B431" s="23" t="n"/>
      <c r="D431" s="18">
        <f>IFERROR(VLOOKUP(C431,Alumnos!$A:$B,2,FALSE),"")</f>
        <v/>
      </c>
      <c r="N431" s="20">
        <f>IF(OR(F431="",I431="",J431="Reprogramada"),"",I431*IFERROR(VLOOKUP(F431,Tutores!$A:$F,6,FALSE),0))</f>
        <v/>
      </c>
    </row>
    <row r="432">
      <c r="A432" s="19" t="n"/>
      <c r="B432" s="23" t="n"/>
      <c r="D432" s="18">
        <f>IFERROR(VLOOKUP(C432,Alumnos!$A:$B,2,FALSE),"")</f>
        <v/>
      </c>
      <c r="N432" s="20">
        <f>IF(OR(F432="",I432="",J432="Reprogramada"),"",I432*IFERROR(VLOOKUP(F432,Tutores!$A:$F,6,FALSE),0))</f>
        <v/>
      </c>
    </row>
    <row r="433">
      <c r="A433" s="19" t="n"/>
      <c r="B433" s="23" t="n"/>
      <c r="D433" s="18">
        <f>IFERROR(VLOOKUP(C433,Alumnos!$A:$B,2,FALSE),"")</f>
        <v/>
      </c>
      <c r="N433" s="20">
        <f>IF(OR(F433="",I433="",J433="Reprogramada"),"",I433*IFERROR(VLOOKUP(F433,Tutores!$A:$F,6,FALSE),0))</f>
        <v/>
      </c>
    </row>
    <row r="434">
      <c r="A434" s="19" t="n"/>
      <c r="B434" s="23" t="n"/>
      <c r="D434" s="18">
        <f>IFERROR(VLOOKUP(C434,Alumnos!$A:$B,2,FALSE),"")</f>
        <v/>
      </c>
      <c r="N434" s="20">
        <f>IF(OR(F434="",I434="",J434="Reprogramada"),"",I434*IFERROR(VLOOKUP(F434,Tutores!$A:$F,6,FALSE),0))</f>
        <v/>
      </c>
    </row>
    <row r="435">
      <c r="A435" s="19" t="n"/>
      <c r="B435" s="23" t="n"/>
      <c r="D435" s="18">
        <f>IFERROR(VLOOKUP(C435,Alumnos!$A:$B,2,FALSE),"")</f>
        <v/>
      </c>
      <c r="N435" s="20">
        <f>IF(OR(F435="",I435="",J435="Reprogramada"),"",I435*IFERROR(VLOOKUP(F435,Tutores!$A:$F,6,FALSE),0))</f>
        <v/>
      </c>
    </row>
    <row r="436">
      <c r="A436" s="19" t="n"/>
      <c r="B436" s="23" t="n"/>
      <c r="D436" s="18">
        <f>IFERROR(VLOOKUP(C436,Alumnos!$A:$B,2,FALSE),"")</f>
        <v/>
      </c>
      <c r="N436" s="20">
        <f>IF(OR(F436="",I436="",J436="Reprogramada"),"",I436*IFERROR(VLOOKUP(F436,Tutores!$A:$F,6,FALSE),0))</f>
        <v/>
      </c>
    </row>
    <row r="437">
      <c r="A437" s="19" t="n"/>
      <c r="B437" s="23" t="n"/>
      <c r="D437" s="18">
        <f>IFERROR(VLOOKUP(C437,Alumnos!$A:$B,2,FALSE),"")</f>
        <v/>
      </c>
      <c r="N437" s="20">
        <f>IF(OR(F437="",I437="",J437="Reprogramada"),"",I437*IFERROR(VLOOKUP(F437,Tutores!$A:$F,6,FALSE),0))</f>
        <v/>
      </c>
    </row>
    <row r="438">
      <c r="A438" s="19" t="n"/>
      <c r="B438" s="23" t="n"/>
      <c r="D438" s="18">
        <f>IFERROR(VLOOKUP(C438,Alumnos!$A:$B,2,FALSE),"")</f>
        <v/>
      </c>
      <c r="N438" s="20">
        <f>IF(OR(F438="",I438="",J438="Reprogramada"),"",I438*IFERROR(VLOOKUP(F438,Tutores!$A:$F,6,FALSE),0))</f>
        <v/>
      </c>
    </row>
    <row r="439">
      <c r="A439" s="19" t="n"/>
      <c r="B439" s="23" t="n"/>
      <c r="D439" s="18">
        <f>IFERROR(VLOOKUP(C439,Alumnos!$A:$B,2,FALSE),"")</f>
        <v/>
      </c>
      <c r="N439" s="20">
        <f>IF(OR(F439="",I439="",J439="Reprogramada"),"",I439*IFERROR(VLOOKUP(F439,Tutores!$A:$F,6,FALSE),0))</f>
        <v/>
      </c>
    </row>
    <row r="440">
      <c r="A440" s="19" t="n"/>
      <c r="B440" s="23" t="n"/>
      <c r="D440" s="18">
        <f>IFERROR(VLOOKUP(C440,Alumnos!$A:$B,2,FALSE),"")</f>
        <v/>
      </c>
      <c r="N440" s="20">
        <f>IF(OR(F440="",I440="",J440="Reprogramada"),"",I440*IFERROR(VLOOKUP(F440,Tutores!$A:$F,6,FALSE),0))</f>
        <v/>
      </c>
    </row>
    <row r="441">
      <c r="A441" s="19" t="n"/>
      <c r="B441" s="23" t="n"/>
      <c r="D441" s="18">
        <f>IFERROR(VLOOKUP(C441,Alumnos!$A:$B,2,FALSE),"")</f>
        <v/>
      </c>
      <c r="N441" s="20">
        <f>IF(OR(F441="",I441="",J441="Reprogramada"),"",I441*IFERROR(VLOOKUP(F441,Tutores!$A:$F,6,FALSE),0))</f>
        <v/>
      </c>
    </row>
    <row r="442">
      <c r="A442" s="19" t="n"/>
      <c r="B442" s="23" t="n"/>
      <c r="D442" s="18">
        <f>IFERROR(VLOOKUP(C442,Alumnos!$A:$B,2,FALSE),"")</f>
        <v/>
      </c>
      <c r="N442" s="20">
        <f>IF(OR(F442="",I442="",J442="Reprogramada"),"",I442*IFERROR(VLOOKUP(F442,Tutores!$A:$F,6,FALSE),0))</f>
        <v/>
      </c>
    </row>
    <row r="443">
      <c r="A443" s="19" t="n"/>
      <c r="B443" s="23" t="n"/>
      <c r="D443" s="18">
        <f>IFERROR(VLOOKUP(C443,Alumnos!$A:$B,2,FALSE),"")</f>
        <v/>
      </c>
      <c r="N443" s="20">
        <f>IF(OR(F443="",I443="",J443="Reprogramada"),"",I443*IFERROR(VLOOKUP(F443,Tutores!$A:$F,6,FALSE),0))</f>
        <v/>
      </c>
    </row>
    <row r="444">
      <c r="A444" s="19" t="n"/>
      <c r="B444" s="23" t="n"/>
      <c r="D444" s="18">
        <f>IFERROR(VLOOKUP(C444,Alumnos!$A:$B,2,FALSE),"")</f>
        <v/>
      </c>
      <c r="N444" s="20">
        <f>IF(OR(F444="",I444="",J444="Reprogramada"),"",I444*IFERROR(VLOOKUP(F444,Tutores!$A:$F,6,FALSE),0))</f>
        <v/>
      </c>
    </row>
    <row r="445">
      <c r="A445" s="19" t="n"/>
      <c r="B445" s="23" t="n"/>
      <c r="D445" s="18">
        <f>IFERROR(VLOOKUP(C445,Alumnos!$A:$B,2,FALSE),"")</f>
        <v/>
      </c>
      <c r="N445" s="20">
        <f>IF(OR(F445="",I445="",J445="Reprogramada"),"",I445*IFERROR(VLOOKUP(F445,Tutores!$A:$F,6,FALSE),0))</f>
        <v/>
      </c>
    </row>
    <row r="446">
      <c r="A446" s="19" t="n"/>
      <c r="B446" s="23" t="n"/>
      <c r="D446" s="18">
        <f>IFERROR(VLOOKUP(C446,Alumnos!$A:$B,2,FALSE),"")</f>
        <v/>
      </c>
      <c r="N446" s="20">
        <f>IF(OR(F446="",I446="",J446="Reprogramada"),"",I446*IFERROR(VLOOKUP(F446,Tutores!$A:$F,6,FALSE),0))</f>
        <v/>
      </c>
    </row>
    <row r="447">
      <c r="A447" s="19" t="n"/>
      <c r="B447" s="23" t="n"/>
      <c r="D447" s="18">
        <f>IFERROR(VLOOKUP(C447,Alumnos!$A:$B,2,FALSE),"")</f>
        <v/>
      </c>
      <c r="N447" s="20">
        <f>IF(OR(F447="",I447="",J447="Reprogramada"),"",I447*IFERROR(VLOOKUP(F447,Tutores!$A:$F,6,FALSE),0))</f>
        <v/>
      </c>
    </row>
    <row r="448">
      <c r="A448" s="19" t="n"/>
      <c r="B448" s="23" t="n"/>
      <c r="D448" s="18">
        <f>IFERROR(VLOOKUP(C448,Alumnos!$A:$B,2,FALSE),"")</f>
        <v/>
      </c>
      <c r="N448" s="20">
        <f>IF(OR(F448="",I448="",J448="Reprogramada"),"",I448*IFERROR(VLOOKUP(F448,Tutores!$A:$F,6,FALSE),0))</f>
        <v/>
      </c>
    </row>
    <row r="449">
      <c r="A449" s="19" t="n"/>
      <c r="B449" s="23" t="n"/>
      <c r="D449" s="18">
        <f>IFERROR(VLOOKUP(C449,Alumnos!$A:$B,2,FALSE),"")</f>
        <v/>
      </c>
      <c r="N449" s="20">
        <f>IF(OR(F449="",I449="",J449="Reprogramada"),"",I449*IFERROR(VLOOKUP(F449,Tutores!$A:$F,6,FALSE),0))</f>
        <v/>
      </c>
    </row>
    <row r="450">
      <c r="A450" s="19" t="n"/>
      <c r="B450" s="23" t="n"/>
      <c r="D450" s="18">
        <f>IFERROR(VLOOKUP(C450,Alumnos!$A:$B,2,FALSE),"")</f>
        <v/>
      </c>
      <c r="N450" s="20">
        <f>IF(OR(F450="",I450="",J450="Reprogramada"),"",I450*IFERROR(VLOOKUP(F450,Tutores!$A:$F,6,FALSE),0))</f>
        <v/>
      </c>
    </row>
    <row r="451">
      <c r="A451" s="19" t="n"/>
      <c r="B451" s="23" t="n"/>
      <c r="D451" s="18">
        <f>IFERROR(VLOOKUP(C451,Alumnos!$A:$B,2,FALSE),"")</f>
        <v/>
      </c>
      <c r="N451" s="20">
        <f>IF(OR(F451="",I451="",J451="Reprogramada"),"",I451*IFERROR(VLOOKUP(F451,Tutores!$A:$F,6,FALSE),0))</f>
        <v/>
      </c>
    </row>
    <row r="452">
      <c r="A452" s="19" t="n"/>
      <c r="B452" s="23" t="n"/>
      <c r="D452" s="18">
        <f>IFERROR(VLOOKUP(C452,Alumnos!$A:$B,2,FALSE),"")</f>
        <v/>
      </c>
      <c r="N452" s="20">
        <f>IF(OR(F452="",I452="",J452="Reprogramada"),"",I452*IFERROR(VLOOKUP(F452,Tutores!$A:$F,6,FALSE),0))</f>
        <v/>
      </c>
    </row>
    <row r="453">
      <c r="A453" s="19" t="n"/>
      <c r="B453" s="23" t="n"/>
      <c r="D453" s="18">
        <f>IFERROR(VLOOKUP(C453,Alumnos!$A:$B,2,FALSE),"")</f>
        <v/>
      </c>
      <c r="N453" s="20">
        <f>IF(OR(F453="",I453="",J453="Reprogramada"),"",I453*IFERROR(VLOOKUP(F453,Tutores!$A:$F,6,FALSE),0))</f>
        <v/>
      </c>
    </row>
    <row r="454">
      <c r="A454" s="19" t="n"/>
      <c r="B454" s="23" t="n"/>
      <c r="D454" s="18">
        <f>IFERROR(VLOOKUP(C454,Alumnos!$A:$B,2,FALSE),"")</f>
        <v/>
      </c>
      <c r="N454" s="20">
        <f>IF(OR(F454="",I454="",J454="Reprogramada"),"",I454*IFERROR(VLOOKUP(F454,Tutores!$A:$F,6,FALSE),0))</f>
        <v/>
      </c>
    </row>
    <row r="455">
      <c r="A455" s="19" t="n"/>
      <c r="B455" s="23" t="n"/>
      <c r="D455" s="18">
        <f>IFERROR(VLOOKUP(C455,Alumnos!$A:$B,2,FALSE),"")</f>
        <v/>
      </c>
      <c r="N455" s="20">
        <f>IF(OR(F455="",I455="",J455="Reprogramada"),"",I455*IFERROR(VLOOKUP(F455,Tutores!$A:$F,6,FALSE),0))</f>
        <v/>
      </c>
    </row>
    <row r="456">
      <c r="A456" s="19" t="n"/>
      <c r="B456" s="23" t="n"/>
      <c r="D456" s="18">
        <f>IFERROR(VLOOKUP(C456,Alumnos!$A:$B,2,FALSE),"")</f>
        <v/>
      </c>
      <c r="N456" s="20">
        <f>IF(OR(F456="",I456="",J456="Reprogramada"),"",I456*IFERROR(VLOOKUP(F456,Tutores!$A:$F,6,FALSE),0))</f>
        <v/>
      </c>
    </row>
    <row r="457">
      <c r="A457" s="19" t="n"/>
      <c r="B457" s="23" t="n"/>
      <c r="D457" s="18">
        <f>IFERROR(VLOOKUP(C457,Alumnos!$A:$B,2,FALSE),"")</f>
        <v/>
      </c>
      <c r="N457" s="20">
        <f>IF(OR(F457="",I457="",J457="Reprogramada"),"",I457*IFERROR(VLOOKUP(F457,Tutores!$A:$F,6,FALSE),0))</f>
        <v/>
      </c>
    </row>
    <row r="458">
      <c r="A458" s="19" t="n"/>
      <c r="B458" s="23" t="n"/>
      <c r="D458" s="18">
        <f>IFERROR(VLOOKUP(C458,Alumnos!$A:$B,2,FALSE),"")</f>
        <v/>
      </c>
      <c r="N458" s="20">
        <f>IF(OR(F458="",I458="",J458="Reprogramada"),"",I458*IFERROR(VLOOKUP(F458,Tutores!$A:$F,6,FALSE),0))</f>
        <v/>
      </c>
    </row>
    <row r="459">
      <c r="A459" s="19" t="n"/>
      <c r="B459" s="23" t="n"/>
      <c r="D459" s="18">
        <f>IFERROR(VLOOKUP(C459,Alumnos!$A:$B,2,FALSE),"")</f>
        <v/>
      </c>
      <c r="N459" s="20">
        <f>IF(OR(F459="",I459="",J459="Reprogramada"),"",I459*IFERROR(VLOOKUP(F459,Tutores!$A:$F,6,FALSE),0))</f>
        <v/>
      </c>
    </row>
    <row r="460">
      <c r="A460" s="19" t="n"/>
      <c r="B460" s="23" t="n"/>
      <c r="D460" s="18">
        <f>IFERROR(VLOOKUP(C460,Alumnos!$A:$B,2,FALSE),"")</f>
        <v/>
      </c>
      <c r="N460" s="20">
        <f>IF(OR(F460="",I460="",J460="Reprogramada"),"",I460*IFERROR(VLOOKUP(F460,Tutores!$A:$F,6,FALSE),0))</f>
        <v/>
      </c>
    </row>
    <row r="461">
      <c r="A461" s="19" t="n"/>
      <c r="B461" s="23" t="n"/>
      <c r="D461" s="18">
        <f>IFERROR(VLOOKUP(C461,Alumnos!$A:$B,2,FALSE),"")</f>
        <v/>
      </c>
      <c r="N461" s="20">
        <f>IF(OR(F461="",I461="",J461="Reprogramada"),"",I461*IFERROR(VLOOKUP(F461,Tutores!$A:$F,6,FALSE),0))</f>
        <v/>
      </c>
    </row>
    <row r="462">
      <c r="A462" s="19" t="n"/>
      <c r="B462" s="23" t="n"/>
      <c r="D462" s="18">
        <f>IFERROR(VLOOKUP(C462,Alumnos!$A:$B,2,FALSE),"")</f>
        <v/>
      </c>
      <c r="N462" s="20">
        <f>IF(OR(F462="",I462="",J462="Reprogramada"),"",I462*IFERROR(VLOOKUP(F462,Tutores!$A:$F,6,FALSE),0))</f>
        <v/>
      </c>
    </row>
    <row r="463">
      <c r="A463" s="19" t="n"/>
      <c r="B463" s="23" t="n"/>
      <c r="D463" s="18">
        <f>IFERROR(VLOOKUP(C463,Alumnos!$A:$B,2,FALSE),"")</f>
        <v/>
      </c>
      <c r="N463" s="20">
        <f>IF(OR(F463="",I463="",J463="Reprogramada"),"",I463*IFERROR(VLOOKUP(F463,Tutores!$A:$F,6,FALSE),0))</f>
        <v/>
      </c>
    </row>
    <row r="464">
      <c r="A464" s="19" t="n"/>
      <c r="B464" s="23" t="n"/>
      <c r="D464" s="18">
        <f>IFERROR(VLOOKUP(C464,Alumnos!$A:$B,2,FALSE),"")</f>
        <v/>
      </c>
      <c r="N464" s="20">
        <f>IF(OR(F464="",I464="",J464="Reprogramada"),"",I464*IFERROR(VLOOKUP(F464,Tutores!$A:$F,6,FALSE),0))</f>
        <v/>
      </c>
    </row>
    <row r="465">
      <c r="A465" s="19" t="n"/>
      <c r="B465" s="23" t="n"/>
      <c r="D465" s="18">
        <f>IFERROR(VLOOKUP(C465,Alumnos!$A:$B,2,FALSE),"")</f>
        <v/>
      </c>
      <c r="N465" s="20">
        <f>IF(OR(F465="",I465="",J465="Reprogramada"),"",I465*IFERROR(VLOOKUP(F465,Tutores!$A:$F,6,FALSE),0))</f>
        <v/>
      </c>
    </row>
    <row r="466">
      <c r="A466" s="19" t="n"/>
      <c r="B466" s="23" t="n"/>
      <c r="D466" s="18">
        <f>IFERROR(VLOOKUP(C466,Alumnos!$A:$B,2,FALSE),"")</f>
        <v/>
      </c>
      <c r="N466" s="20">
        <f>IF(OR(F466="",I466="",J466="Reprogramada"),"",I466*IFERROR(VLOOKUP(F466,Tutores!$A:$F,6,FALSE),0))</f>
        <v/>
      </c>
    </row>
    <row r="467">
      <c r="A467" s="19" t="n"/>
      <c r="B467" s="23" t="n"/>
      <c r="D467" s="18">
        <f>IFERROR(VLOOKUP(C467,Alumnos!$A:$B,2,FALSE),"")</f>
        <v/>
      </c>
      <c r="N467" s="20">
        <f>IF(OR(F467="",I467="",J467="Reprogramada"),"",I467*IFERROR(VLOOKUP(F467,Tutores!$A:$F,6,FALSE),0))</f>
        <v/>
      </c>
    </row>
    <row r="468">
      <c r="A468" s="19" t="n"/>
      <c r="B468" s="23" t="n"/>
      <c r="D468" s="18">
        <f>IFERROR(VLOOKUP(C468,Alumnos!$A:$B,2,FALSE),"")</f>
        <v/>
      </c>
      <c r="N468" s="20">
        <f>IF(OR(F468="",I468="",J468="Reprogramada"),"",I468*IFERROR(VLOOKUP(F468,Tutores!$A:$F,6,FALSE),0))</f>
        <v/>
      </c>
    </row>
    <row r="469">
      <c r="A469" s="19" t="n"/>
      <c r="B469" s="23" t="n"/>
      <c r="D469" s="18">
        <f>IFERROR(VLOOKUP(C469,Alumnos!$A:$B,2,FALSE),"")</f>
        <v/>
      </c>
      <c r="N469" s="20">
        <f>IF(OR(F469="",I469="",J469="Reprogramada"),"",I469*IFERROR(VLOOKUP(F469,Tutores!$A:$F,6,FALSE),0))</f>
        <v/>
      </c>
    </row>
    <row r="470">
      <c r="A470" s="19" t="n"/>
      <c r="B470" s="23" t="n"/>
      <c r="D470" s="18">
        <f>IFERROR(VLOOKUP(C470,Alumnos!$A:$B,2,FALSE),"")</f>
        <v/>
      </c>
      <c r="N470" s="20">
        <f>IF(OR(F470="",I470="",J470="Reprogramada"),"",I470*IFERROR(VLOOKUP(F470,Tutores!$A:$F,6,FALSE),0))</f>
        <v/>
      </c>
    </row>
    <row r="471">
      <c r="A471" s="19" t="n"/>
      <c r="B471" s="23" t="n"/>
      <c r="D471" s="18">
        <f>IFERROR(VLOOKUP(C471,Alumnos!$A:$B,2,FALSE),"")</f>
        <v/>
      </c>
      <c r="N471" s="20">
        <f>IF(OR(F471="",I471="",J471="Reprogramada"),"",I471*IFERROR(VLOOKUP(F471,Tutores!$A:$F,6,FALSE),0))</f>
        <v/>
      </c>
    </row>
    <row r="472">
      <c r="A472" s="19" t="n"/>
      <c r="B472" s="23" t="n"/>
      <c r="D472" s="18">
        <f>IFERROR(VLOOKUP(C472,Alumnos!$A:$B,2,FALSE),"")</f>
        <v/>
      </c>
      <c r="N472" s="20">
        <f>IF(OR(F472="",I472="",J472="Reprogramada"),"",I472*IFERROR(VLOOKUP(F472,Tutores!$A:$F,6,FALSE),0))</f>
        <v/>
      </c>
    </row>
    <row r="473">
      <c r="A473" s="19" t="n"/>
      <c r="B473" s="23" t="n"/>
      <c r="D473" s="18">
        <f>IFERROR(VLOOKUP(C473,Alumnos!$A:$B,2,FALSE),"")</f>
        <v/>
      </c>
      <c r="N473" s="20">
        <f>IF(OR(F473="",I473="",J473="Reprogramada"),"",I473*IFERROR(VLOOKUP(F473,Tutores!$A:$F,6,FALSE),0))</f>
        <v/>
      </c>
    </row>
    <row r="474">
      <c r="A474" s="19" t="n"/>
      <c r="B474" s="23" t="n"/>
      <c r="D474" s="18">
        <f>IFERROR(VLOOKUP(C474,Alumnos!$A:$B,2,FALSE),"")</f>
        <v/>
      </c>
      <c r="N474" s="20">
        <f>IF(OR(F474="",I474="",J474="Reprogramada"),"",I474*IFERROR(VLOOKUP(F474,Tutores!$A:$F,6,FALSE),0))</f>
        <v/>
      </c>
    </row>
    <row r="475">
      <c r="A475" s="19" t="n"/>
      <c r="B475" s="23" t="n"/>
      <c r="D475" s="18">
        <f>IFERROR(VLOOKUP(C475,Alumnos!$A:$B,2,FALSE),"")</f>
        <v/>
      </c>
      <c r="N475" s="20">
        <f>IF(OR(F475="",I475="",J475="Reprogramada"),"",I475*IFERROR(VLOOKUP(F475,Tutores!$A:$F,6,FALSE),0))</f>
        <v/>
      </c>
    </row>
    <row r="476">
      <c r="A476" s="19" t="n"/>
      <c r="B476" s="23" t="n"/>
      <c r="D476" s="18">
        <f>IFERROR(VLOOKUP(C476,Alumnos!$A:$B,2,FALSE),"")</f>
        <v/>
      </c>
      <c r="N476" s="20">
        <f>IF(OR(F476="",I476="",J476="Reprogramada"),"",I476*IFERROR(VLOOKUP(F476,Tutores!$A:$F,6,FALSE),0))</f>
        <v/>
      </c>
    </row>
    <row r="477">
      <c r="A477" s="19" t="n"/>
      <c r="B477" s="23" t="n"/>
      <c r="D477" s="18">
        <f>IFERROR(VLOOKUP(C477,Alumnos!$A:$B,2,FALSE),"")</f>
        <v/>
      </c>
      <c r="N477" s="20">
        <f>IF(OR(F477="",I477="",J477="Reprogramada"),"",I477*IFERROR(VLOOKUP(F477,Tutores!$A:$F,6,FALSE),0))</f>
        <v/>
      </c>
    </row>
    <row r="478">
      <c r="A478" s="19" t="n"/>
      <c r="B478" s="23" t="n"/>
      <c r="D478" s="18">
        <f>IFERROR(VLOOKUP(C478,Alumnos!$A:$B,2,FALSE),"")</f>
        <v/>
      </c>
      <c r="N478" s="20">
        <f>IF(OR(F478="",I478="",J478="Reprogramada"),"",I478*IFERROR(VLOOKUP(F478,Tutores!$A:$F,6,FALSE),0))</f>
        <v/>
      </c>
    </row>
    <row r="479">
      <c r="A479" s="19" t="n"/>
      <c r="B479" s="23" t="n"/>
      <c r="D479" s="18">
        <f>IFERROR(VLOOKUP(C479,Alumnos!$A:$B,2,FALSE),"")</f>
        <v/>
      </c>
      <c r="N479" s="20">
        <f>IF(OR(F479="",I479="",J479="Reprogramada"),"",I479*IFERROR(VLOOKUP(F479,Tutores!$A:$F,6,FALSE),0))</f>
        <v/>
      </c>
    </row>
    <row r="480">
      <c r="A480" s="19" t="n"/>
      <c r="B480" s="23" t="n"/>
      <c r="D480" s="18">
        <f>IFERROR(VLOOKUP(C480,Alumnos!$A:$B,2,FALSE),"")</f>
        <v/>
      </c>
      <c r="N480" s="20">
        <f>IF(OR(F480="",I480="",J480="Reprogramada"),"",I480*IFERROR(VLOOKUP(F480,Tutores!$A:$F,6,FALSE),0))</f>
        <v/>
      </c>
    </row>
    <row r="481">
      <c r="A481" s="19" t="n"/>
      <c r="B481" s="23" t="n"/>
      <c r="D481" s="18">
        <f>IFERROR(VLOOKUP(C481,Alumnos!$A:$B,2,FALSE),"")</f>
        <v/>
      </c>
      <c r="N481" s="20">
        <f>IF(OR(F481="",I481="",J481="Reprogramada"),"",I481*IFERROR(VLOOKUP(F481,Tutores!$A:$F,6,FALSE),0))</f>
        <v/>
      </c>
    </row>
    <row r="482">
      <c r="A482" s="19" t="n"/>
      <c r="B482" s="23" t="n"/>
      <c r="D482" s="18">
        <f>IFERROR(VLOOKUP(C482,Alumnos!$A:$B,2,FALSE),"")</f>
        <v/>
      </c>
      <c r="N482" s="20">
        <f>IF(OR(F482="",I482="",J482="Reprogramada"),"",I482*IFERROR(VLOOKUP(F482,Tutores!$A:$F,6,FALSE),0))</f>
        <v/>
      </c>
    </row>
    <row r="483">
      <c r="A483" s="19" t="n"/>
      <c r="B483" s="23" t="n"/>
      <c r="D483" s="18">
        <f>IFERROR(VLOOKUP(C483,Alumnos!$A:$B,2,FALSE),"")</f>
        <v/>
      </c>
      <c r="N483" s="20">
        <f>IF(OR(F483="",I483="",J483="Reprogramada"),"",I483*IFERROR(VLOOKUP(F483,Tutores!$A:$F,6,FALSE),0))</f>
        <v/>
      </c>
    </row>
    <row r="484">
      <c r="A484" s="19" t="n"/>
      <c r="B484" s="23" t="n"/>
      <c r="D484" s="18">
        <f>IFERROR(VLOOKUP(C484,Alumnos!$A:$B,2,FALSE),"")</f>
        <v/>
      </c>
      <c r="N484" s="20">
        <f>IF(OR(F484="",I484="",J484="Reprogramada"),"",I484*IFERROR(VLOOKUP(F484,Tutores!$A:$F,6,FALSE),0))</f>
        <v/>
      </c>
    </row>
    <row r="485">
      <c r="A485" s="19" t="n"/>
      <c r="B485" s="23" t="n"/>
      <c r="D485" s="18">
        <f>IFERROR(VLOOKUP(C485,Alumnos!$A:$B,2,FALSE),"")</f>
        <v/>
      </c>
      <c r="N485" s="20">
        <f>IF(OR(F485="",I485="",J485="Reprogramada"),"",I485*IFERROR(VLOOKUP(F485,Tutores!$A:$F,6,FALSE),0))</f>
        <v/>
      </c>
    </row>
    <row r="486">
      <c r="A486" s="19" t="n"/>
      <c r="B486" s="23" t="n"/>
      <c r="D486" s="18">
        <f>IFERROR(VLOOKUP(C486,Alumnos!$A:$B,2,FALSE),"")</f>
        <v/>
      </c>
      <c r="N486" s="20">
        <f>IF(OR(F486="",I486="",J486="Reprogramada"),"",I486*IFERROR(VLOOKUP(F486,Tutores!$A:$F,6,FALSE),0))</f>
        <v/>
      </c>
    </row>
    <row r="487">
      <c r="A487" s="19" t="n"/>
      <c r="B487" s="23" t="n"/>
      <c r="D487" s="18">
        <f>IFERROR(VLOOKUP(C487,Alumnos!$A:$B,2,FALSE),"")</f>
        <v/>
      </c>
      <c r="N487" s="20">
        <f>IF(OR(F487="",I487="",J487="Reprogramada"),"",I487*IFERROR(VLOOKUP(F487,Tutores!$A:$F,6,FALSE),0))</f>
        <v/>
      </c>
    </row>
    <row r="488">
      <c r="A488" s="19" t="n"/>
      <c r="B488" s="23" t="n"/>
      <c r="D488" s="18">
        <f>IFERROR(VLOOKUP(C488,Alumnos!$A:$B,2,FALSE),"")</f>
        <v/>
      </c>
      <c r="N488" s="20">
        <f>IF(OR(F488="",I488="",J488="Reprogramada"),"",I488*IFERROR(VLOOKUP(F488,Tutores!$A:$F,6,FALSE),0))</f>
        <v/>
      </c>
    </row>
    <row r="489">
      <c r="A489" s="19" t="n"/>
      <c r="B489" s="23" t="n"/>
      <c r="D489" s="18">
        <f>IFERROR(VLOOKUP(C489,Alumnos!$A:$B,2,FALSE),"")</f>
        <v/>
      </c>
      <c r="N489" s="20">
        <f>IF(OR(F489="",I489="",J489="Reprogramada"),"",I489*IFERROR(VLOOKUP(F489,Tutores!$A:$F,6,FALSE),0))</f>
        <v/>
      </c>
    </row>
    <row r="490">
      <c r="A490" s="19" t="n"/>
      <c r="B490" s="23" t="n"/>
      <c r="D490" s="18">
        <f>IFERROR(VLOOKUP(C490,Alumnos!$A:$B,2,FALSE),"")</f>
        <v/>
      </c>
      <c r="N490" s="20">
        <f>IF(OR(F490="",I490="",J490="Reprogramada"),"",I490*IFERROR(VLOOKUP(F490,Tutores!$A:$F,6,FALSE),0))</f>
        <v/>
      </c>
    </row>
    <row r="491">
      <c r="A491" s="19" t="n"/>
      <c r="B491" s="23" t="n"/>
      <c r="D491" s="18">
        <f>IFERROR(VLOOKUP(C491,Alumnos!$A:$B,2,FALSE),"")</f>
        <v/>
      </c>
      <c r="N491" s="20">
        <f>IF(OR(F491="",I491="",J491="Reprogramada"),"",I491*IFERROR(VLOOKUP(F491,Tutores!$A:$F,6,FALSE),0))</f>
        <v/>
      </c>
    </row>
    <row r="492">
      <c r="A492" s="19" t="n"/>
      <c r="B492" s="23" t="n"/>
      <c r="D492" s="18">
        <f>IFERROR(VLOOKUP(C492,Alumnos!$A:$B,2,FALSE),"")</f>
        <v/>
      </c>
      <c r="N492" s="20">
        <f>IF(OR(F492="",I492="",J492="Reprogramada"),"",I492*IFERROR(VLOOKUP(F492,Tutores!$A:$F,6,FALSE),0))</f>
        <v/>
      </c>
    </row>
    <row r="493">
      <c r="A493" s="19" t="n"/>
      <c r="B493" s="23" t="n"/>
      <c r="D493" s="18">
        <f>IFERROR(VLOOKUP(C493,Alumnos!$A:$B,2,FALSE),"")</f>
        <v/>
      </c>
      <c r="N493" s="20">
        <f>IF(OR(F493="",I493="",J493="Reprogramada"),"",I493*IFERROR(VLOOKUP(F493,Tutores!$A:$F,6,FALSE),0))</f>
        <v/>
      </c>
    </row>
    <row r="494">
      <c r="A494" s="19" t="n"/>
      <c r="B494" s="23" t="n"/>
      <c r="D494" s="18">
        <f>IFERROR(VLOOKUP(C494,Alumnos!$A:$B,2,FALSE),"")</f>
        <v/>
      </c>
      <c r="N494" s="20">
        <f>IF(OR(F494="",I494="",J494="Reprogramada"),"",I494*IFERROR(VLOOKUP(F494,Tutores!$A:$F,6,FALSE),0))</f>
        <v/>
      </c>
    </row>
    <row r="495">
      <c r="A495" s="19" t="n"/>
      <c r="B495" s="23" t="n"/>
      <c r="D495" s="18">
        <f>IFERROR(VLOOKUP(C495,Alumnos!$A:$B,2,FALSE),"")</f>
        <v/>
      </c>
      <c r="N495" s="20">
        <f>IF(OR(F495="",I495="",J495="Reprogramada"),"",I495*IFERROR(VLOOKUP(F495,Tutores!$A:$F,6,FALSE),0))</f>
        <v/>
      </c>
    </row>
    <row r="496">
      <c r="A496" s="19" t="n"/>
      <c r="B496" s="23" t="n"/>
      <c r="D496" s="18">
        <f>IFERROR(VLOOKUP(C496,Alumnos!$A:$B,2,FALSE),"")</f>
        <v/>
      </c>
      <c r="N496" s="20">
        <f>IF(OR(F496="",I496="",J496="Reprogramada"),"",I496*IFERROR(VLOOKUP(F496,Tutores!$A:$F,6,FALSE),0))</f>
        <v/>
      </c>
    </row>
    <row r="497">
      <c r="A497" s="19" t="n"/>
      <c r="B497" s="23" t="n"/>
      <c r="D497" s="18">
        <f>IFERROR(VLOOKUP(C497,Alumnos!$A:$B,2,FALSE),"")</f>
        <v/>
      </c>
      <c r="N497" s="20">
        <f>IF(OR(F497="",I497="",J497="Reprogramada"),"",I497*IFERROR(VLOOKUP(F497,Tutores!$A:$F,6,FALSE),0))</f>
        <v/>
      </c>
    </row>
    <row r="498">
      <c r="A498" s="19" t="n"/>
      <c r="B498" s="23" t="n"/>
      <c r="D498" s="18">
        <f>IFERROR(VLOOKUP(C498,Alumnos!$A:$B,2,FALSE),"")</f>
        <v/>
      </c>
      <c r="N498" s="20">
        <f>IF(OR(F498="",I498="",J498="Reprogramada"),"",I498*IFERROR(VLOOKUP(F498,Tutores!$A:$F,6,FALSE),0))</f>
        <v/>
      </c>
    </row>
    <row r="499">
      <c r="A499" s="19" t="n"/>
      <c r="B499" s="23" t="n"/>
      <c r="D499" s="18">
        <f>IFERROR(VLOOKUP(C499,Alumnos!$A:$B,2,FALSE),"")</f>
        <v/>
      </c>
      <c r="N499" s="20">
        <f>IF(OR(F499="",I499="",J499="Reprogramada"),"",I499*IFERROR(VLOOKUP(F499,Tutores!$A:$F,6,FALSE),0))</f>
        <v/>
      </c>
    </row>
    <row r="500">
      <c r="A500" s="19" t="n"/>
      <c r="B500" s="23" t="n"/>
      <c r="D500" s="18">
        <f>IFERROR(VLOOKUP(C500,Alumnos!$A:$B,2,FALSE),"")</f>
        <v/>
      </c>
      <c r="N500" s="20">
        <f>IF(OR(F500="",I500="",J500="Reprogramada"),"",I500*IFERROR(VLOOKUP(F500,Tutores!$A:$F,6,FALSE),0))</f>
        <v/>
      </c>
    </row>
    <row r="501">
      <c r="A501" s="19" t="n"/>
      <c r="B501" s="23" t="n"/>
      <c r="D501" s="18">
        <f>IFERROR(VLOOKUP(C501,Alumnos!$A:$B,2,FALSE),"")</f>
        <v/>
      </c>
      <c r="N501" s="20">
        <f>IF(OR(F501="",I501="",J501="Reprogramada"),"",I501*IFERROR(VLOOKUP(F501,Tutores!$A:$F,6,FALSE),0))</f>
        <v/>
      </c>
    </row>
  </sheetData>
  <dataValidations count="3">
    <dataValidation sqref="J2:J501" showDropDown="0" showInputMessage="0" showErrorMessage="0" allowBlank="1" type="list">
      <formula1>Listas!$H$2:$H$4</formula1>
    </dataValidation>
    <dataValidation sqref="K2:K501" showDropDown="0" showInputMessage="0" showErrorMessage="0" allowBlank="1" type="list">
      <formula1>Listas!$E$2:$E$4</formula1>
    </dataValidation>
    <dataValidation sqref="F2:F501" showDropDown="0" showInputMessage="0" showErrorMessage="0" allowBlank="1" type="list">
      <formula1>Tutores!$A$2:$A$50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A2A6"/>
    <outlinePr summaryBelow="1" summaryRight="1"/>
    <pageSetUpPr/>
  </sheetPr>
  <dimension ref="A1:K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2" customWidth="1" min="4" max="4"/>
    <col width="20" customWidth="1" min="5" max="5"/>
    <col width="18" customWidth="1" min="6" max="6"/>
    <col width="10" customWidth="1" min="7" max="7"/>
    <col width="10" customWidth="1" min="8" max="8"/>
    <col width="9" customWidth="1" min="9" max="9"/>
    <col width="30" customWidth="1" min="10" max="10"/>
    <col width="34" customWidth="1" min="11" max="11"/>
  </cols>
  <sheetData>
    <row r="1" ht="32" customHeight="1">
      <c r="A1" s="17" t="inlineStr">
        <is>
          <t>Fecha</t>
        </is>
      </c>
      <c r="B1" s="17" t="inlineStr">
        <is>
          <t>ID alumno</t>
        </is>
      </c>
      <c r="C1" s="16" t="inlineStr">
        <is>
          <t>Alumno</t>
        </is>
      </c>
      <c r="D1" s="17" t="inlineStr">
        <is>
          <t>Universidad</t>
        </is>
      </c>
      <c r="E1" s="17" t="inlineStr">
        <is>
          <t>Tipo (simulacro / práctica / nota univ.)</t>
        </is>
      </c>
      <c r="F1" s="17" t="inlineStr">
        <is>
          <t>Área / curso</t>
        </is>
      </c>
      <c r="G1" s="17" t="inlineStr">
        <is>
          <t>Puntaje</t>
        </is>
      </c>
      <c r="H1" s="17" t="inlineStr">
        <is>
          <t>Puntaje máximo</t>
        </is>
      </c>
      <c r="I1" s="16" t="inlineStr">
        <is>
          <t>% logro</t>
        </is>
      </c>
      <c r="J1" s="17" t="inlineStr">
        <is>
          <t>Temas débiles</t>
        </is>
      </c>
      <c r="K1" s="17" t="inlineStr">
        <is>
          <t>Comentario para el alumno/padre</t>
        </is>
      </c>
    </row>
    <row r="2">
      <c r="A2" s="19" t="n"/>
      <c r="C2" s="18">
        <f>IFERROR(VLOOKUP(B2,Alumnos!$A:$B,2,FALSE),"")</f>
        <v/>
      </c>
      <c r="I2" s="24">
        <f>IF(OR(G2="",H2=""),"",G2/H2)</f>
        <v/>
      </c>
    </row>
    <row r="3">
      <c r="A3" s="19" t="n"/>
      <c r="C3" s="18">
        <f>IFERROR(VLOOKUP(B3,Alumnos!$A:$B,2,FALSE),"")</f>
        <v/>
      </c>
      <c r="I3" s="24">
        <f>IF(OR(G3="",H3=""),"",G3/H3)</f>
        <v/>
      </c>
    </row>
    <row r="4">
      <c r="A4" s="19" t="n"/>
      <c r="C4" s="18">
        <f>IFERROR(VLOOKUP(B4,Alumnos!$A:$B,2,FALSE),"")</f>
        <v/>
      </c>
      <c r="I4" s="24">
        <f>IF(OR(G4="",H4=""),"",G4/H4)</f>
        <v/>
      </c>
    </row>
    <row r="5">
      <c r="A5" s="19" t="n"/>
      <c r="C5" s="18">
        <f>IFERROR(VLOOKUP(B5,Alumnos!$A:$B,2,FALSE),"")</f>
        <v/>
      </c>
      <c r="I5" s="24">
        <f>IF(OR(G5="",H5=""),"",G5/H5)</f>
        <v/>
      </c>
    </row>
    <row r="6">
      <c r="A6" s="19" t="n"/>
      <c r="C6" s="18">
        <f>IFERROR(VLOOKUP(B6,Alumnos!$A:$B,2,FALSE),"")</f>
        <v/>
      </c>
      <c r="I6" s="24">
        <f>IF(OR(G6="",H6=""),"",G6/H6)</f>
        <v/>
      </c>
    </row>
    <row r="7">
      <c r="A7" s="19" t="n"/>
      <c r="C7" s="18">
        <f>IFERROR(VLOOKUP(B7,Alumnos!$A:$B,2,FALSE),"")</f>
        <v/>
      </c>
      <c r="I7" s="24">
        <f>IF(OR(G7="",H7=""),"",G7/H7)</f>
        <v/>
      </c>
    </row>
    <row r="8">
      <c r="A8" s="19" t="n"/>
      <c r="C8" s="18">
        <f>IFERROR(VLOOKUP(B8,Alumnos!$A:$B,2,FALSE),"")</f>
        <v/>
      </c>
      <c r="I8" s="24">
        <f>IF(OR(G8="",H8=""),"",G8/H8)</f>
        <v/>
      </c>
    </row>
    <row r="9">
      <c r="A9" s="19" t="n"/>
      <c r="C9" s="18">
        <f>IFERROR(VLOOKUP(B9,Alumnos!$A:$B,2,FALSE),"")</f>
        <v/>
      </c>
      <c r="I9" s="24">
        <f>IF(OR(G9="",H9=""),"",G9/H9)</f>
        <v/>
      </c>
    </row>
    <row r="10">
      <c r="A10" s="19" t="n"/>
      <c r="C10" s="18">
        <f>IFERROR(VLOOKUP(B10,Alumnos!$A:$B,2,FALSE),"")</f>
        <v/>
      </c>
      <c r="I10" s="24">
        <f>IF(OR(G10="",H10=""),"",G10/H10)</f>
        <v/>
      </c>
    </row>
    <row r="11">
      <c r="A11" s="19" t="n"/>
      <c r="C11" s="18">
        <f>IFERROR(VLOOKUP(B11,Alumnos!$A:$B,2,FALSE),"")</f>
        <v/>
      </c>
      <c r="I11" s="24">
        <f>IF(OR(G11="",H11=""),"",G11/H11)</f>
        <v/>
      </c>
    </row>
    <row r="12">
      <c r="A12" s="19" t="n"/>
      <c r="C12" s="18">
        <f>IFERROR(VLOOKUP(B12,Alumnos!$A:$B,2,FALSE),"")</f>
        <v/>
      </c>
      <c r="I12" s="24">
        <f>IF(OR(G12="",H12=""),"",G12/H12)</f>
        <v/>
      </c>
    </row>
    <row r="13">
      <c r="A13" s="19" t="n"/>
      <c r="C13" s="18">
        <f>IFERROR(VLOOKUP(B13,Alumnos!$A:$B,2,FALSE),"")</f>
        <v/>
      </c>
      <c r="I13" s="24">
        <f>IF(OR(G13="",H13=""),"",G13/H13)</f>
        <v/>
      </c>
    </row>
    <row r="14">
      <c r="A14" s="19" t="n"/>
      <c r="C14" s="18">
        <f>IFERROR(VLOOKUP(B14,Alumnos!$A:$B,2,FALSE),"")</f>
        <v/>
      </c>
      <c r="I14" s="24">
        <f>IF(OR(G14="",H14=""),"",G14/H14)</f>
        <v/>
      </c>
    </row>
    <row r="15">
      <c r="A15" s="19" t="n"/>
      <c r="C15" s="18">
        <f>IFERROR(VLOOKUP(B15,Alumnos!$A:$B,2,FALSE),"")</f>
        <v/>
      </c>
      <c r="I15" s="24">
        <f>IF(OR(G15="",H15=""),"",G15/H15)</f>
        <v/>
      </c>
    </row>
    <row r="16">
      <c r="A16" s="19" t="n"/>
      <c r="C16" s="18">
        <f>IFERROR(VLOOKUP(B16,Alumnos!$A:$B,2,FALSE),"")</f>
        <v/>
      </c>
      <c r="I16" s="24">
        <f>IF(OR(G16="",H16=""),"",G16/H16)</f>
        <v/>
      </c>
    </row>
    <row r="17">
      <c r="A17" s="19" t="n"/>
      <c r="C17" s="18">
        <f>IFERROR(VLOOKUP(B17,Alumnos!$A:$B,2,FALSE),"")</f>
        <v/>
      </c>
      <c r="I17" s="24">
        <f>IF(OR(G17="",H17=""),"",G17/H17)</f>
        <v/>
      </c>
    </row>
    <row r="18">
      <c r="A18" s="19" t="n"/>
      <c r="C18" s="18">
        <f>IFERROR(VLOOKUP(B18,Alumnos!$A:$B,2,FALSE),"")</f>
        <v/>
      </c>
      <c r="I18" s="24">
        <f>IF(OR(G18="",H18=""),"",G18/H18)</f>
        <v/>
      </c>
    </row>
    <row r="19">
      <c r="A19" s="19" t="n"/>
      <c r="C19" s="18">
        <f>IFERROR(VLOOKUP(B19,Alumnos!$A:$B,2,FALSE),"")</f>
        <v/>
      </c>
      <c r="I19" s="24">
        <f>IF(OR(G19="",H19=""),"",G19/H19)</f>
        <v/>
      </c>
    </row>
    <row r="20">
      <c r="A20" s="19" t="n"/>
      <c r="C20" s="18">
        <f>IFERROR(VLOOKUP(B20,Alumnos!$A:$B,2,FALSE),"")</f>
        <v/>
      </c>
      <c r="I20" s="24">
        <f>IF(OR(G20="",H20=""),"",G20/H20)</f>
        <v/>
      </c>
    </row>
    <row r="21">
      <c r="A21" s="19" t="n"/>
      <c r="C21" s="18">
        <f>IFERROR(VLOOKUP(B21,Alumnos!$A:$B,2,FALSE),"")</f>
        <v/>
      </c>
      <c r="I21" s="24">
        <f>IF(OR(G21="",H21=""),"",G21/H21)</f>
        <v/>
      </c>
    </row>
    <row r="22">
      <c r="A22" s="19" t="n"/>
      <c r="C22" s="18">
        <f>IFERROR(VLOOKUP(B22,Alumnos!$A:$B,2,FALSE),"")</f>
        <v/>
      </c>
      <c r="I22" s="24">
        <f>IF(OR(G22="",H22=""),"",G22/H22)</f>
        <v/>
      </c>
    </row>
    <row r="23">
      <c r="A23" s="19" t="n"/>
      <c r="C23" s="18">
        <f>IFERROR(VLOOKUP(B23,Alumnos!$A:$B,2,FALSE),"")</f>
        <v/>
      </c>
      <c r="I23" s="24">
        <f>IF(OR(G23="",H23=""),"",G23/H23)</f>
        <v/>
      </c>
    </row>
    <row r="24">
      <c r="A24" s="19" t="n"/>
      <c r="C24" s="18">
        <f>IFERROR(VLOOKUP(B24,Alumnos!$A:$B,2,FALSE),"")</f>
        <v/>
      </c>
      <c r="I24" s="24">
        <f>IF(OR(G24="",H24=""),"",G24/H24)</f>
        <v/>
      </c>
    </row>
    <row r="25">
      <c r="A25" s="19" t="n"/>
      <c r="C25" s="18">
        <f>IFERROR(VLOOKUP(B25,Alumnos!$A:$B,2,FALSE),"")</f>
        <v/>
      </c>
      <c r="I25" s="24">
        <f>IF(OR(G25="",H25=""),"",G25/H25)</f>
        <v/>
      </c>
    </row>
    <row r="26">
      <c r="A26" s="19" t="n"/>
      <c r="C26" s="18">
        <f>IFERROR(VLOOKUP(B26,Alumnos!$A:$B,2,FALSE),"")</f>
        <v/>
      </c>
      <c r="I26" s="24">
        <f>IF(OR(G26="",H26=""),"",G26/H26)</f>
        <v/>
      </c>
    </row>
    <row r="27">
      <c r="A27" s="19" t="n"/>
      <c r="C27" s="18">
        <f>IFERROR(VLOOKUP(B27,Alumnos!$A:$B,2,FALSE),"")</f>
        <v/>
      </c>
      <c r="I27" s="24">
        <f>IF(OR(G27="",H27=""),"",G27/H27)</f>
        <v/>
      </c>
    </row>
    <row r="28">
      <c r="A28" s="19" t="n"/>
      <c r="C28" s="18">
        <f>IFERROR(VLOOKUP(B28,Alumnos!$A:$B,2,FALSE),"")</f>
        <v/>
      </c>
      <c r="I28" s="24">
        <f>IF(OR(G28="",H28=""),"",G28/H28)</f>
        <v/>
      </c>
    </row>
    <row r="29">
      <c r="A29" s="19" t="n"/>
      <c r="C29" s="18">
        <f>IFERROR(VLOOKUP(B29,Alumnos!$A:$B,2,FALSE),"")</f>
        <v/>
      </c>
      <c r="I29" s="24">
        <f>IF(OR(G29="",H29=""),"",G29/H29)</f>
        <v/>
      </c>
    </row>
    <row r="30">
      <c r="A30" s="19" t="n"/>
      <c r="C30" s="18">
        <f>IFERROR(VLOOKUP(B30,Alumnos!$A:$B,2,FALSE),"")</f>
        <v/>
      </c>
      <c r="I30" s="24">
        <f>IF(OR(G30="",H30=""),"",G30/H30)</f>
        <v/>
      </c>
    </row>
    <row r="31">
      <c r="A31" s="19" t="n"/>
      <c r="C31" s="18">
        <f>IFERROR(VLOOKUP(B31,Alumnos!$A:$B,2,FALSE),"")</f>
        <v/>
      </c>
      <c r="I31" s="24">
        <f>IF(OR(G31="",H31=""),"",G31/H31)</f>
        <v/>
      </c>
    </row>
    <row r="32">
      <c r="A32" s="19" t="n"/>
      <c r="C32" s="18">
        <f>IFERROR(VLOOKUP(B32,Alumnos!$A:$B,2,FALSE),"")</f>
        <v/>
      </c>
      <c r="I32" s="24">
        <f>IF(OR(G32="",H32=""),"",G32/H32)</f>
        <v/>
      </c>
    </row>
    <row r="33">
      <c r="A33" s="19" t="n"/>
      <c r="C33" s="18">
        <f>IFERROR(VLOOKUP(B33,Alumnos!$A:$B,2,FALSE),"")</f>
        <v/>
      </c>
      <c r="I33" s="24">
        <f>IF(OR(G33="",H33=""),"",G33/H33)</f>
        <v/>
      </c>
    </row>
    <row r="34">
      <c r="A34" s="19" t="n"/>
      <c r="C34" s="18">
        <f>IFERROR(VLOOKUP(B34,Alumnos!$A:$B,2,FALSE),"")</f>
        <v/>
      </c>
      <c r="I34" s="24">
        <f>IF(OR(G34="",H34=""),"",G34/H34)</f>
        <v/>
      </c>
    </row>
    <row r="35">
      <c r="A35" s="19" t="n"/>
      <c r="C35" s="18">
        <f>IFERROR(VLOOKUP(B35,Alumnos!$A:$B,2,FALSE),"")</f>
        <v/>
      </c>
      <c r="I35" s="24">
        <f>IF(OR(G35="",H35=""),"",G35/H35)</f>
        <v/>
      </c>
    </row>
    <row r="36">
      <c r="A36" s="19" t="n"/>
      <c r="C36" s="18">
        <f>IFERROR(VLOOKUP(B36,Alumnos!$A:$B,2,FALSE),"")</f>
        <v/>
      </c>
      <c r="I36" s="24">
        <f>IF(OR(G36="",H36=""),"",G36/H36)</f>
        <v/>
      </c>
    </row>
    <row r="37">
      <c r="A37" s="19" t="n"/>
      <c r="C37" s="18">
        <f>IFERROR(VLOOKUP(B37,Alumnos!$A:$B,2,FALSE),"")</f>
        <v/>
      </c>
      <c r="I37" s="24">
        <f>IF(OR(G37="",H37=""),"",G37/H37)</f>
        <v/>
      </c>
    </row>
    <row r="38">
      <c r="A38" s="19" t="n"/>
      <c r="C38" s="18">
        <f>IFERROR(VLOOKUP(B38,Alumnos!$A:$B,2,FALSE),"")</f>
        <v/>
      </c>
      <c r="I38" s="24">
        <f>IF(OR(G38="",H38=""),"",G38/H38)</f>
        <v/>
      </c>
    </row>
    <row r="39">
      <c r="A39" s="19" t="n"/>
      <c r="C39" s="18">
        <f>IFERROR(VLOOKUP(B39,Alumnos!$A:$B,2,FALSE),"")</f>
        <v/>
      </c>
      <c r="I39" s="24">
        <f>IF(OR(G39="",H39=""),"",G39/H39)</f>
        <v/>
      </c>
    </row>
    <row r="40">
      <c r="A40" s="19" t="n"/>
      <c r="C40" s="18">
        <f>IFERROR(VLOOKUP(B40,Alumnos!$A:$B,2,FALSE),"")</f>
        <v/>
      </c>
      <c r="I40" s="24">
        <f>IF(OR(G40="",H40=""),"",G40/H40)</f>
        <v/>
      </c>
    </row>
    <row r="41">
      <c r="A41" s="19" t="n"/>
      <c r="C41" s="18">
        <f>IFERROR(VLOOKUP(B41,Alumnos!$A:$B,2,FALSE),"")</f>
        <v/>
      </c>
      <c r="I41" s="24">
        <f>IF(OR(G41="",H41=""),"",G41/H41)</f>
        <v/>
      </c>
    </row>
    <row r="42">
      <c r="A42" s="19" t="n"/>
      <c r="C42" s="18">
        <f>IFERROR(VLOOKUP(B42,Alumnos!$A:$B,2,FALSE),"")</f>
        <v/>
      </c>
      <c r="I42" s="24">
        <f>IF(OR(G42="",H42=""),"",G42/H42)</f>
        <v/>
      </c>
    </row>
    <row r="43">
      <c r="A43" s="19" t="n"/>
      <c r="C43" s="18">
        <f>IFERROR(VLOOKUP(B43,Alumnos!$A:$B,2,FALSE),"")</f>
        <v/>
      </c>
      <c r="I43" s="24">
        <f>IF(OR(G43="",H43=""),"",G43/H43)</f>
        <v/>
      </c>
    </row>
    <row r="44">
      <c r="A44" s="19" t="n"/>
      <c r="C44" s="18">
        <f>IFERROR(VLOOKUP(B44,Alumnos!$A:$B,2,FALSE),"")</f>
        <v/>
      </c>
      <c r="I44" s="24">
        <f>IF(OR(G44="",H44=""),"",G44/H44)</f>
        <v/>
      </c>
    </row>
    <row r="45">
      <c r="A45" s="19" t="n"/>
      <c r="C45" s="18">
        <f>IFERROR(VLOOKUP(B45,Alumnos!$A:$B,2,FALSE),"")</f>
        <v/>
      </c>
      <c r="I45" s="24">
        <f>IF(OR(G45="",H45=""),"",G45/H45)</f>
        <v/>
      </c>
    </row>
    <row r="46">
      <c r="A46" s="19" t="n"/>
      <c r="C46" s="18">
        <f>IFERROR(VLOOKUP(B46,Alumnos!$A:$B,2,FALSE),"")</f>
        <v/>
      </c>
      <c r="I46" s="24">
        <f>IF(OR(G46="",H46=""),"",G46/H46)</f>
        <v/>
      </c>
    </row>
    <row r="47">
      <c r="A47" s="19" t="n"/>
      <c r="C47" s="18">
        <f>IFERROR(VLOOKUP(B47,Alumnos!$A:$B,2,FALSE),"")</f>
        <v/>
      </c>
      <c r="I47" s="24">
        <f>IF(OR(G47="",H47=""),"",G47/H47)</f>
        <v/>
      </c>
    </row>
    <row r="48">
      <c r="A48" s="19" t="n"/>
      <c r="C48" s="18">
        <f>IFERROR(VLOOKUP(B48,Alumnos!$A:$B,2,FALSE),"")</f>
        <v/>
      </c>
      <c r="I48" s="24">
        <f>IF(OR(G48="",H48=""),"",G48/H48)</f>
        <v/>
      </c>
    </row>
    <row r="49">
      <c r="A49" s="19" t="n"/>
      <c r="C49" s="18">
        <f>IFERROR(VLOOKUP(B49,Alumnos!$A:$B,2,FALSE),"")</f>
        <v/>
      </c>
      <c r="I49" s="24">
        <f>IF(OR(G49="",H49=""),"",G49/H49)</f>
        <v/>
      </c>
    </row>
    <row r="50">
      <c r="A50" s="19" t="n"/>
      <c r="C50" s="18">
        <f>IFERROR(VLOOKUP(B50,Alumnos!$A:$B,2,FALSE),"")</f>
        <v/>
      </c>
      <c r="I50" s="24">
        <f>IF(OR(G50="",H50=""),"",G50/H50)</f>
        <v/>
      </c>
    </row>
    <row r="51">
      <c r="A51" s="19" t="n"/>
      <c r="C51" s="18">
        <f>IFERROR(VLOOKUP(B51,Alumnos!$A:$B,2,FALSE),"")</f>
        <v/>
      </c>
      <c r="I51" s="24">
        <f>IF(OR(G51="",H51=""),"",G51/H51)</f>
        <v/>
      </c>
    </row>
    <row r="52">
      <c r="A52" s="19" t="n"/>
      <c r="C52" s="18">
        <f>IFERROR(VLOOKUP(B52,Alumnos!$A:$B,2,FALSE),"")</f>
        <v/>
      </c>
      <c r="I52" s="24">
        <f>IF(OR(G52="",H52=""),"",G52/H52)</f>
        <v/>
      </c>
    </row>
    <row r="53">
      <c r="A53" s="19" t="n"/>
      <c r="C53" s="18">
        <f>IFERROR(VLOOKUP(B53,Alumnos!$A:$B,2,FALSE),"")</f>
        <v/>
      </c>
      <c r="I53" s="24">
        <f>IF(OR(G53="",H53=""),"",G53/H53)</f>
        <v/>
      </c>
    </row>
    <row r="54">
      <c r="A54" s="19" t="n"/>
      <c r="C54" s="18">
        <f>IFERROR(VLOOKUP(B54,Alumnos!$A:$B,2,FALSE),"")</f>
        <v/>
      </c>
      <c r="I54" s="24">
        <f>IF(OR(G54="",H54=""),"",G54/H54)</f>
        <v/>
      </c>
    </row>
    <row r="55">
      <c r="A55" s="19" t="n"/>
      <c r="C55" s="18">
        <f>IFERROR(VLOOKUP(B55,Alumnos!$A:$B,2,FALSE),"")</f>
        <v/>
      </c>
      <c r="I55" s="24">
        <f>IF(OR(G55="",H55=""),"",G55/H55)</f>
        <v/>
      </c>
    </row>
    <row r="56">
      <c r="A56" s="19" t="n"/>
      <c r="C56" s="18">
        <f>IFERROR(VLOOKUP(B56,Alumnos!$A:$B,2,FALSE),"")</f>
        <v/>
      </c>
      <c r="I56" s="24">
        <f>IF(OR(G56="",H56=""),"",G56/H56)</f>
        <v/>
      </c>
    </row>
    <row r="57">
      <c r="A57" s="19" t="n"/>
      <c r="C57" s="18">
        <f>IFERROR(VLOOKUP(B57,Alumnos!$A:$B,2,FALSE),"")</f>
        <v/>
      </c>
      <c r="I57" s="24">
        <f>IF(OR(G57="",H57=""),"",G57/H57)</f>
        <v/>
      </c>
    </row>
    <row r="58">
      <c r="A58" s="19" t="n"/>
      <c r="C58" s="18">
        <f>IFERROR(VLOOKUP(B58,Alumnos!$A:$B,2,FALSE),"")</f>
        <v/>
      </c>
      <c r="I58" s="24">
        <f>IF(OR(G58="",H58=""),"",G58/H58)</f>
        <v/>
      </c>
    </row>
    <row r="59">
      <c r="A59" s="19" t="n"/>
      <c r="C59" s="18">
        <f>IFERROR(VLOOKUP(B59,Alumnos!$A:$B,2,FALSE),"")</f>
        <v/>
      </c>
      <c r="I59" s="24">
        <f>IF(OR(G59="",H59=""),"",G59/H59)</f>
        <v/>
      </c>
    </row>
    <row r="60">
      <c r="A60" s="19" t="n"/>
      <c r="C60" s="18">
        <f>IFERROR(VLOOKUP(B60,Alumnos!$A:$B,2,FALSE),"")</f>
        <v/>
      </c>
      <c r="I60" s="24">
        <f>IF(OR(G60="",H60=""),"",G60/H60)</f>
        <v/>
      </c>
    </row>
    <row r="61">
      <c r="A61" s="19" t="n"/>
      <c r="C61" s="18">
        <f>IFERROR(VLOOKUP(B61,Alumnos!$A:$B,2,FALSE),"")</f>
        <v/>
      </c>
      <c r="I61" s="24">
        <f>IF(OR(G61="",H61=""),"",G61/H61)</f>
        <v/>
      </c>
    </row>
    <row r="62">
      <c r="A62" s="19" t="n"/>
      <c r="C62" s="18">
        <f>IFERROR(VLOOKUP(B62,Alumnos!$A:$B,2,FALSE),"")</f>
        <v/>
      </c>
      <c r="I62" s="24">
        <f>IF(OR(G62="",H62=""),"",G62/H62)</f>
        <v/>
      </c>
    </row>
    <row r="63">
      <c r="A63" s="19" t="n"/>
      <c r="C63" s="18">
        <f>IFERROR(VLOOKUP(B63,Alumnos!$A:$B,2,FALSE),"")</f>
        <v/>
      </c>
      <c r="I63" s="24">
        <f>IF(OR(G63="",H63=""),"",G63/H63)</f>
        <v/>
      </c>
    </row>
    <row r="64">
      <c r="A64" s="19" t="n"/>
      <c r="C64" s="18">
        <f>IFERROR(VLOOKUP(B64,Alumnos!$A:$B,2,FALSE),"")</f>
        <v/>
      </c>
      <c r="I64" s="24">
        <f>IF(OR(G64="",H64=""),"",G64/H64)</f>
        <v/>
      </c>
    </row>
    <row r="65">
      <c r="A65" s="19" t="n"/>
      <c r="C65" s="18">
        <f>IFERROR(VLOOKUP(B65,Alumnos!$A:$B,2,FALSE),"")</f>
        <v/>
      </c>
      <c r="I65" s="24">
        <f>IF(OR(G65="",H65=""),"",G65/H65)</f>
        <v/>
      </c>
    </row>
    <row r="66">
      <c r="A66" s="19" t="n"/>
      <c r="C66" s="18">
        <f>IFERROR(VLOOKUP(B66,Alumnos!$A:$B,2,FALSE),"")</f>
        <v/>
      </c>
      <c r="I66" s="24">
        <f>IF(OR(G66="",H66=""),"",G66/H66)</f>
        <v/>
      </c>
    </row>
    <row r="67">
      <c r="A67" s="19" t="n"/>
      <c r="C67" s="18">
        <f>IFERROR(VLOOKUP(B67,Alumnos!$A:$B,2,FALSE),"")</f>
        <v/>
      </c>
      <c r="I67" s="24">
        <f>IF(OR(G67="",H67=""),"",G67/H67)</f>
        <v/>
      </c>
    </row>
    <row r="68">
      <c r="A68" s="19" t="n"/>
      <c r="C68" s="18">
        <f>IFERROR(VLOOKUP(B68,Alumnos!$A:$B,2,FALSE),"")</f>
        <v/>
      </c>
      <c r="I68" s="24">
        <f>IF(OR(G68="",H68=""),"",G68/H68)</f>
        <v/>
      </c>
    </row>
    <row r="69">
      <c r="A69" s="19" t="n"/>
      <c r="C69" s="18">
        <f>IFERROR(VLOOKUP(B69,Alumnos!$A:$B,2,FALSE),"")</f>
        <v/>
      </c>
      <c r="I69" s="24">
        <f>IF(OR(G69="",H69=""),"",G69/H69)</f>
        <v/>
      </c>
    </row>
    <row r="70">
      <c r="A70" s="19" t="n"/>
      <c r="C70" s="18">
        <f>IFERROR(VLOOKUP(B70,Alumnos!$A:$B,2,FALSE),"")</f>
        <v/>
      </c>
      <c r="I70" s="24">
        <f>IF(OR(G70="",H70=""),"",G70/H70)</f>
        <v/>
      </c>
    </row>
    <row r="71">
      <c r="A71" s="19" t="n"/>
      <c r="C71" s="18">
        <f>IFERROR(VLOOKUP(B71,Alumnos!$A:$B,2,FALSE),"")</f>
        <v/>
      </c>
      <c r="I71" s="24">
        <f>IF(OR(G71="",H71=""),"",G71/H71)</f>
        <v/>
      </c>
    </row>
    <row r="72">
      <c r="A72" s="19" t="n"/>
      <c r="C72" s="18">
        <f>IFERROR(VLOOKUP(B72,Alumnos!$A:$B,2,FALSE),"")</f>
        <v/>
      </c>
      <c r="I72" s="24">
        <f>IF(OR(G72="",H72=""),"",G72/H72)</f>
        <v/>
      </c>
    </row>
    <row r="73">
      <c r="A73" s="19" t="n"/>
      <c r="C73" s="18">
        <f>IFERROR(VLOOKUP(B73,Alumnos!$A:$B,2,FALSE),"")</f>
        <v/>
      </c>
      <c r="I73" s="24">
        <f>IF(OR(G73="",H73=""),"",G73/H73)</f>
        <v/>
      </c>
    </row>
    <row r="74">
      <c r="A74" s="19" t="n"/>
      <c r="C74" s="18">
        <f>IFERROR(VLOOKUP(B74,Alumnos!$A:$B,2,FALSE),"")</f>
        <v/>
      </c>
      <c r="I74" s="24">
        <f>IF(OR(G74="",H74=""),"",G74/H74)</f>
        <v/>
      </c>
    </row>
    <row r="75">
      <c r="A75" s="19" t="n"/>
      <c r="C75" s="18">
        <f>IFERROR(VLOOKUP(B75,Alumnos!$A:$B,2,FALSE),"")</f>
        <v/>
      </c>
      <c r="I75" s="24">
        <f>IF(OR(G75="",H75=""),"",G75/H75)</f>
        <v/>
      </c>
    </row>
    <row r="76">
      <c r="A76" s="19" t="n"/>
      <c r="C76" s="18">
        <f>IFERROR(VLOOKUP(B76,Alumnos!$A:$B,2,FALSE),"")</f>
        <v/>
      </c>
      <c r="I76" s="24">
        <f>IF(OR(G76="",H76=""),"",G76/H76)</f>
        <v/>
      </c>
    </row>
    <row r="77">
      <c r="A77" s="19" t="n"/>
      <c r="C77" s="18">
        <f>IFERROR(VLOOKUP(B77,Alumnos!$A:$B,2,FALSE),"")</f>
        <v/>
      </c>
      <c r="I77" s="24">
        <f>IF(OR(G77="",H77=""),"",G77/H77)</f>
        <v/>
      </c>
    </row>
    <row r="78">
      <c r="A78" s="19" t="n"/>
      <c r="C78" s="18">
        <f>IFERROR(VLOOKUP(B78,Alumnos!$A:$B,2,FALSE),"")</f>
        <v/>
      </c>
      <c r="I78" s="24">
        <f>IF(OR(G78="",H78=""),"",G78/H78)</f>
        <v/>
      </c>
    </row>
    <row r="79">
      <c r="A79" s="19" t="n"/>
      <c r="C79" s="18">
        <f>IFERROR(VLOOKUP(B79,Alumnos!$A:$B,2,FALSE),"")</f>
        <v/>
      </c>
      <c r="I79" s="24">
        <f>IF(OR(G79="",H79=""),"",G79/H79)</f>
        <v/>
      </c>
    </row>
    <row r="80">
      <c r="A80" s="19" t="n"/>
      <c r="C80" s="18">
        <f>IFERROR(VLOOKUP(B80,Alumnos!$A:$B,2,FALSE),"")</f>
        <v/>
      </c>
      <c r="I80" s="24">
        <f>IF(OR(G80="",H80=""),"",G80/H80)</f>
        <v/>
      </c>
    </row>
    <row r="81">
      <c r="A81" s="19" t="n"/>
      <c r="C81" s="18">
        <f>IFERROR(VLOOKUP(B81,Alumnos!$A:$B,2,FALSE),"")</f>
        <v/>
      </c>
      <c r="I81" s="24">
        <f>IF(OR(G81="",H81=""),"",G81/H81)</f>
        <v/>
      </c>
    </row>
    <row r="82">
      <c r="A82" s="19" t="n"/>
      <c r="C82" s="18">
        <f>IFERROR(VLOOKUP(B82,Alumnos!$A:$B,2,FALSE),"")</f>
        <v/>
      </c>
      <c r="I82" s="24">
        <f>IF(OR(G82="",H82=""),"",G82/H82)</f>
        <v/>
      </c>
    </row>
    <row r="83">
      <c r="A83" s="19" t="n"/>
      <c r="C83" s="18">
        <f>IFERROR(VLOOKUP(B83,Alumnos!$A:$B,2,FALSE),"")</f>
        <v/>
      </c>
      <c r="I83" s="24">
        <f>IF(OR(G83="",H83=""),"",G83/H83)</f>
        <v/>
      </c>
    </row>
    <row r="84">
      <c r="A84" s="19" t="n"/>
      <c r="C84" s="18">
        <f>IFERROR(VLOOKUP(B84,Alumnos!$A:$B,2,FALSE),"")</f>
        <v/>
      </c>
      <c r="I84" s="24">
        <f>IF(OR(G84="",H84=""),"",G84/H84)</f>
        <v/>
      </c>
    </row>
    <row r="85">
      <c r="A85" s="19" t="n"/>
      <c r="C85" s="18">
        <f>IFERROR(VLOOKUP(B85,Alumnos!$A:$B,2,FALSE),"")</f>
        <v/>
      </c>
      <c r="I85" s="24">
        <f>IF(OR(G85="",H85=""),"",G85/H85)</f>
        <v/>
      </c>
    </row>
    <row r="86">
      <c r="A86" s="19" t="n"/>
      <c r="C86" s="18">
        <f>IFERROR(VLOOKUP(B86,Alumnos!$A:$B,2,FALSE),"")</f>
        <v/>
      </c>
      <c r="I86" s="24">
        <f>IF(OR(G86="",H86=""),"",G86/H86)</f>
        <v/>
      </c>
    </row>
    <row r="87">
      <c r="A87" s="19" t="n"/>
      <c r="C87" s="18">
        <f>IFERROR(VLOOKUP(B87,Alumnos!$A:$B,2,FALSE),"")</f>
        <v/>
      </c>
      <c r="I87" s="24">
        <f>IF(OR(G87="",H87=""),"",G87/H87)</f>
        <v/>
      </c>
    </row>
    <row r="88">
      <c r="A88" s="19" t="n"/>
      <c r="C88" s="18">
        <f>IFERROR(VLOOKUP(B88,Alumnos!$A:$B,2,FALSE),"")</f>
        <v/>
      </c>
      <c r="I88" s="24">
        <f>IF(OR(G88="",H88=""),"",G88/H88)</f>
        <v/>
      </c>
    </row>
    <row r="89">
      <c r="A89" s="19" t="n"/>
      <c r="C89" s="18">
        <f>IFERROR(VLOOKUP(B89,Alumnos!$A:$B,2,FALSE),"")</f>
        <v/>
      </c>
      <c r="I89" s="24">
        <f>IF(OR(G89="",H89=""),"",G89/H89)</f>
        <v/>
      </c>
    </row>
    <row r="90">
      <c r="A90" s="19" t="n"/>
      <c r="C90" s="18">
        <f>IFERROR(VLOOKUP(B90,Alumnos!$A:$B,2,FALSE),"")</f>
        <v/>
      </c>
      <c r="I90" s="24">
        <f>IF(OR(G90="",H90=""),"",G90/H90)</f>
        <v/>
      </c>
    </row>
    <row r="91">
      <c r="A91" s="19" t="n"/>
      <c r="C91" s="18">
        <f>IFERROR(VLOOKUP(B91,Alumnos!$A:$B,2,FALSE),"")</f>
        <v/>
      </c>
      <c r="I91" s="24">
        <f>IF(OR(G91="",H91=""),"",G91/H91)</f>
        <v/>
      </c>
    </row>
    <row r="92">
      <c r="A92" s="19" t="n"/>
      <c r="C92" s="18">
        <f>IFERROR(VLOOKUP(B92,Alumnos!$A:$B,2,FALSE),"")</f>
        <v/>
      </c>
      <c r="I92" s="24">
        <f>IF(OR(G92="",H92=""),"",G92/H92)</f>
        <v/>
      </c>
    </row>
    <row r="93">
      <c r="A93" s="19" t="n"/>
      <c r="C93" s="18">
        <f>IFERROR(VLOOKUP(B93,Alumnos!$A:$B,2,FALSE),"")</f>
        <v/>
      </c>
      <c r="I93" s="24">
        <f>IF(OR(G93="",H93=""),"",G93/H93)</f>
        <v/>
      </c>
    </row>
    <row r="94">
      <c r="A94" s="19" t="n"/>
      <c r="C94" s="18">
        <f>IFERROR(VLOOKUP(B94,Alumnos!$A:$B,2,FALSE),"")</f>
        <v/>
      </c>
      <c r="I94" s="24">
        <f>IF(OR(G94="",H94=""),"",G94/H94)</f>
        <v/>
      </c>
    </row>
    <row r="95">
      <c r="A95" s="19" t="n"/>
      <c r="C95" s="18">
        <f>IFERROR(VLOOKUP(B95,Alumnos!$A:$B,2,FALSE),"")</f>
        <v/>
      </c>
      <c r="I95" s="24">
        <f>IF(OR(G95="",H95=""),"",G95/H95)</f>
        <v/>
      </c>
    </row>
    <row r="96">
      <c r="A96" s="19" t="n"/>
      <c r="C96" s="18">
        <f>IFERROR(VLOOKUP(B96,Alumnos!$A:$B,2,FALSE),"")</f>
        <v/>
      </c>
      <c r="I96" s="24">
        <f>IF(OR(G96="",H96=""),"",G96/H96)</f>
        <v/>
      </c>
    </row>
    <row r="97">
      <c r="A97" s="19" t="n"/>
      <c r="C97" s="18">
        <f>IFERROR(VLOOKUP(B97,Alumnos!$A:$B,2,FALSE),"")</f>
        <v/>
      </c>
      <c r="I97" s="24">
        <f>IF(OR(G97="",H97=""),"",G97/H97)</f>
        <v/>
      </c>
    </row>
    <row r="98">
      <c r="A98" s="19" t="n"/>
      <c r="C98" s="18">
        <f>IFERROR(VLOOKUP(B98,Alumnos!$A:$B,2,FALSE),"")</f>
        <v/>
      </c>
      <c r="I98" s="24">
        <f>IF(OR(G98="",H98=""),"",G98/H98)</f>
        <v/>
      </c>
    </row>
    <row r="99">
      <c r="A99" s="19" t="n"/>
      <c r="C99" s="18">
        <f>IFERROR(VLOOKUP(B99,Alumnos!$A:$B,2,FALSE),"")</f>
        <v/>
      </c>
      <c r="I99" s="24">
        <f>IF(OR(G99="",H99=""),"",G99/H99)</f>
        <v/>
      </c>
    </row>
    <row r="100">
      <c r="A100" s="19" t="n"/>
      <c r="C100" s="18">
        <f>IFERROR(VLOOKUP(B100,Alumnos!$A:$B,2,FALSE),"")</f>
        <v/>
      </c>
      <c r="I100" s="24">
        <f>IF(OR(G100="",H100=""),"",G100/H100)</f>
        <v/>
      </c>
    </row>
    <row r="101">
      <c r="A101" s="19" t="n"/>
      <c r="C101" s="18">
        <f>IFERROR(VLOOKUP(B101,Alumnos!$A:$B,2,FALSE),"")</f>
        <v/>
      </c>
      <c r="I101" s="24">
        <f>IF(OR(G101="",H101=""),"",G101/H101)</f>
        <v/>
      </c>
    </row>
    <row r="102">
      <c r="A102" s="19" t="n"/>
      <c r="C102" s="18">
        <f>IFERROR(VLOOKUP(B102,Alumnos!$A:$B,2,FALSE),"")</f>
        <v/>
      </c>
      <c r="I102" s="24">
        <f>IF(OR(G102="",H102=""),"",G102/H102)</f>
        <v/>
      </c>
    </row>
    <row r="103">
      <c r="A103" s="19" t="n"/>
      <c r="C103" s="18">
        <f>IFERROR(VLOOKUP(B103,Alumnos!$A:$B,2,FALSE),"")</f>
        <v/>
      </c>
      <c r="I103" s="24">
        <f>IF(OR(G103="",H103=""),"",G103/H103)</f>
        <v/>
      </c>
    </row>
    <row r="104">
      <c r="A104" s="19" t="n"/>
      <c r="C104" s="18">
        <f>IFERROR(VLOOKUP(B104,Alumnos!$A:$B,2,FALSE),"")</f>
        <v/>
      </c>
      <c r="I104" s="24">
        <f>IF(OR(G104="",H104=""),"",G104/H104)</f>
        <v/>
      </c>
    </row>
    <row r="105">
      <c r="A105" s="19" t="n"/>
      <c r="C105" s="18">
        <f>IFERROR(VLOOKUP(B105,Alumnos!$A:$B,2,FALSE),"")</f>
        <v/>
      </c>
      <c r="I105" s="24">
        <f>IF(OR(G105="",H105=""),"",G105/H105)</f>
        <v/>
      </c>
    </row>
    <row r="106">
      <c r="A106" s="19" t="n"/>
      <c r="C106" s="18">
        <f>IFERROR(VLOOKUP(B106,Alumnos!$A:$B,2,FALSE),"")</f>
        <v/>
      </c>
      <c r="I106" s="24">
        <f>IF(OR(G106="",H106=""),"",G106/H106)</f>
        <v/>
      </c>
    </row>
    <row r="107">
      <c r="A107" s="19" t="n"/>
      <c r="C107" s="18">
        <f>IFERROR(VLOOKUP(B107,Alumnos!$A:$B,2,FALSE),"")</f>
        <v/>
      </c>
      <c r="I107" s="24">
        <f>IF(OR(G107="",H107=""),"",G107/H107)</f>
        <v/>
      </c>
    </row>
    <row r="108">
      <c r="A108" s="19" t="n"/>
      <c r="C108" s="18">
        <f>IFERROR(VLOOKUP(B108,Alumnos!$A:$B,2,FALSE),"")</f>
        <v/>
      </c>
      <c r="I108" s="24">
        <f>IF(OR(G108="",H108=""),"",G108/H108)</f>
        <v/>
      </c>
    </row>
    <row r="109">
      <c r="A109" s="19" t="n"/>
      <c r="C109" s="18">
        <f>IFERROR(VLOOKUP(B109,Alumnos!$A:$B,2,FALSE),"")</f>
        <v/>
      </c>
      <c r="I109" s="24">
        <f>IF(OR(G109="",H109=""),"",G109/H109)</f>
        <v/>
      </c>
    </row>
    <row r="110">
      <c r="A110" s="19" t="n"/>
      <c r="C110" s="18">
        <f>IFERROR(VLOOKUP(B110,Alumnos!$A:$B,2,FALSE),"")</f>
        <v/>
      </c>
      <c r="I110" s="24">
        <f>IF(OR(G110="",H110=""),"",G110/H110)</f>
        <v/>
      </c>
    </row>
    <row r="111">
      <c r="A111" s="19" t="n"/>
      <c r="C111" s="18">
        <f>IFERROR(VLOOKUP(B111,Alumnos!$A:$B,2,FALSE),"")</f>
        <v/>
      </c>
      <c r="I111" s="24">
        <f>IF(OR(G111="",H111=""),"",G111/H111)</f>
        <v/>
      </c>
    </row>
    <row r="112">
      <c r="A112" s="19" t="n"/>
      <c r="C112" s="18">
        <f>IFERROR(VLOOKUP(B112,Alumnos!$A:$B,2,FALSE),"")</f>
        <v/>
      </c>
      <c r="I112" s="24">
        <f>IF(OR(G112="",H112=""),"",G112/H112)</f>
        <v/>
      </c>
    </row>
    <row r="113">
      <c r="A113" s="19" t="n"/>
      <c r="C113" s="18">
        <f>IFERROR(VLOOKUP(B113,Alumnos!$A:$B,2,FALSE),"")</f>
        <v/>
      </c>
      <c r="I113" s="24">
        <f>IF(OR(G113="",H113=""),"",G113/H113)</f>
        <v/>
      </c>
    </row>
    <row r="114">
      <c r="A114" s="19" t="n"/>
      <c r="C114" s="18">
        <f>IFERROR(VLOOKUP(B114,Alumnos!$A:$B,2,FALSE),"")</f>
        <v/>
      </c>
      <c r="I114" s="24">
        <f>IF(OR(G114="",H114=""),"",G114/H114)</f>
        <v/>
      </c>
    </row>
    <row r="115">
      <c r="A115" s="19" t="n"/>
      <c r="C115" s="18">
        <f>IFERROR(VLOOKUP(B115,Alumnos!$A:$B,2,FALSE),"")</f>
        <v/>
      </c>
      <c r="I115" s="24">
        <f>IF(OR(G115="",H115=""),"",G115/H115)</f>
        <v/>
      </c>
    </row>
    <row r="116">
      <c r="A116" s="19" t="n"/>
      <c r="C116" s="18">
        <f>IFERROR(VLOOKUP(B116,Alumnos!$A:$B,2,FALSE),"")</f>
        <v/>
      </c>
      <c r="I116" s="24">
        <f>IF(OR(G116="",H116=""),"",G116/H116)</f>
        <v/>
      </c>
    </row>
    <row r="117">
      <c r="A117" s="19" t="n"/>
      <c r="C117" s="18">
        <f>IFERROR(VLOOKUP(B117,Alumnos!$A:$B,2,FALSE),"")</f>
        <v/>
      </c>
      <c r="I117" s="24">
        <f>IF(OR(G117="",H117=""),"",G117/H117)</f>
        <v/>
      </c>
    </row>
    <row r="118">
      <c r="A118" s="19" t="n"/>
      <c r="C118" s="18">
        <f>IFERROR(VLOOKUP(B118,Alumnos!$A:$B,2,FALSE),"")</f>
        <v/>
      </c>
      <c r="I118" s="24">
        <f>IF(OR(G118="",H118=""),"",G118/H118)</f>
        <v/>
      </c>
    </row>
    <row r="119">
      <c r="A119" s="19" t="n"/>
      <c r="C119" s="18">
        <f>IFERROR(VLOOKUP(B119,Alumnos!$A:$B,2,FALSE),"")</f>
        <v/>
      </c>
      <c r="I119" s="24">
        <f>IF(OR(G119="",H119=""),"",G119/H119)</f>
        <v/>
      </c>
    </row>
    <row r="120">
      <c r="A120" s="19" t="n"/>
      <c r="C120" s="18">
        <f>IFERROR(VLOOKUP(B120,Alumnos!$A:$B,2,FALSE),"")</f>
        <v/>
      </c>
      <c r="I120" s="24">
        <f>IF(OR(G120="",H120=""),"",G120/H120)</f>
        <v/>
      </c>
    </row>
    <row r="121">
      <c r="A121" s="19" t="n"/>
      <c r="C121" s="18">
        <f>IFERROR(VLOOKUP(B121,Alumnos!$A:$B,2,FALSE),"")</f>
        <v/>
      </c>
      <c r="I121" s="24">
        <f>IF(OR(G121="",H121=""),"",G121/H121)</f>
        <v/>
      </c>
    </row>
    <row r="122">
      <c r="A122" s="19" t="n"/>
      <c r="C122" s="18">
        <f>IFERROR(VLOOKUP(B122,Alumnos!$A:$B,2,FALSE),"")</f>
        <v/>
      </c>
      <c r="I122" s="24">
        <f>IF(OR(G122="",H122=""),"",G122/H122)</f>
        <v/>
      </c>
    </row>
    <row r="123">
      <c r="A123" s="19" t="n"/>
      <c r="C123" s="18">
        <f>IFERROR(VLOOKUP(B123,Alumnos!$A:$B,2,FALSE),"")</f>
        <v/>
      </c>
      <c r="I123" s="24">
        <f>IF(OR(G123="",H123=""),"",G123/H123)</f>
        <v/>
      </c>
    </row>
    <row r="124">
      <c r="A124" s="19" t="n"/>
      <c r="C124" s="18">
        <f>IFERROR(VLOOKUP(B124,Alumnos!$A:$B,2,FALSE),"")</f>
        <v/>
      </c>
      <c r="I124" s="24">
        <f>IF(OR(G124="",H124=""),"",G124/H124)</f>
        <v/>
      </c>
    </row>
    <row r="125">
      <c r="A125" s="19" t="n"/>
      <c r="C125" s="18">
        <f>IFERROR(VLOOKUP(B125,Alumnos!$A:$B,2,FALSE),"")</f>
        <v/>
      </c>
      <c r="I125" s="24">
        <f>IF(OR(G125="",H125=""),"",G125/H125)</f>
        <v/>
      </c>
    </row>
    <row r="126">
      <c r="A126" s="19" t="n"/>
      <c r="C126" s="18">
        <f>IFERROR(VLOOKUP(B126,Alumnos!$A:$B,2,FALSE),"")</f>
        <v/>
      </c>
      <c r="I126" s="24">
        <f>IF(OR(G126="",H126=""),"",G126/H126)</f>
        <v/>
      </c>
    </row>
    <row r="127">
      <c r="A127" s="19" t="n"/>
      <c r="C127" s="18">
        <f>IFERROR(VLOOKUP(B127,Alumnos!$A:$B,2,FALSE),"")</f>
        <v/>
      </c>
      <c r="I127" s="24">
        <f>IF(OR(G127="",H127=""),"",G127/H127)</f>
        <v/>
      </c>
    </row>
    <row r="128">
      <c r="A128" s="19" t="n"/>
      <c r="C128" s="18">
        <f>IFERROR(VLOOKUP(B128,Alumnos!$A:$B,2,FALSE),"")</f>
        <v/>
      </c>
      <c r="I128" s="24">
        <f>IF(OR(G128="",H128=""),"",G128/H128)</f>
        <v/>
      </c>
    </row>
    <row r="129">
      <c r="A129" s="19" t="n"/>
      <c r="C129" s="18">
        <f>IFERROR(VLOOKUP(B129,Alumnos!$A:$B,2,FALSE),"")</f>
        <v/>
      </c>
      <c r="I129" s="24">
        <f>IF(OR(G129="",H129=""),"",G129/H129)</f>
        <v/>
      </c>
    </row>
    <row r="130">
      <c r="A130" s="19" t="n"/>
      <c r="C130" s="18">
        <f>IFERROR(VLOOKUP(B130,Alumnos!$A:$B,2,FALSE),"")</f>
        <v/>
      </c>
      <c r="I130" s="24">
        <f>IF(OR(G130="",H130=""),"",G130/H130)</f>
        <v/>
      </c>
    </row>
    <row r="131">
      <c r="A131" s="19" t="n"/>
      <c r="C131" s="18">
        <f>IFERROR(VLOOKUP(B131,Alumnos!$A:$B,2,FALSE),"")</f>
        <v/>
      </c>
      <c r="I131" s="24">
        <f>IF(OR(G131="",H131=""),"",G131/H131)</f>
        <v/>
      </c>
    </row>
    <row r="132">
      <c r="A132" s="19" t="n"/>
      <c r="C132" s="18">
        <f>IFERROR(VLOOKUP(B132,Alumnos!$A:$B,2,FALSE),"")</f>
        <v/>
      </c>
      <c r="I132" s="24">
        <f>IF(OR(G132="",H132=""),"",G132/H132)</f>
        <v/>
      </c>
    </row>
    <row r="133">
      <c r="A133" s="19" t="n"/>
      <c r="C133" s="18">
        <f>IFERROR(VLOOKUP(B133,Alumnos!$A:$B,2,FALSE),"")</f>
        <v/>
      </c>
      <c r="I133" s="24">
        <f>IF(OR(G133="",H133=""),"",G133/H133)</f>
        <v/>
      </c>
    </row>
    <row r="134">
      <c r="A134" s="19" t="n"/>
      <c r="C134" s="18">
        <f>IFERROR(VLOOKUP(B134,Alumnos!$A:$B,2,FALSE),"")</f>
        <v/>
      </c>
      <c r="I134" s="24">
        <f>IF(OR(G134="",H134=""),"",G134/H134)</f>
        <v/>
      </c>
    </row>
    <row r="135">
      <c r="A135" s="19" t="n"/>
      <c r="C135" s="18">
        <f>IFERROR(VLOOKUP(B135,Alumnos!$A:$B,2,FALSE),"")</f>
        <v/>
      </c>
      <c r="I135" s="24">
        <f>IF(OR(G135="",H135=""),"",G135/H135)</f>
        <v/>
      </c>
    </row>
    <row r="136">
      <c r="A136" s="19" t="n"/>
      <c r="C136" s="18">
        <f>IFERROR(VLOOKUP(B136,Alumnos!$A:$B,2,FALSE),"")</f>
        <v/>
      </c>
      <c r="I136" s="24">
        <f>IF(OR(G136="",H136=""),"",G136/H136)</f>
        <v/>
      </c>
    </row>
    <row r="137">
      <c r="A137" s="19" t="n"/>
      <c r="C137" s="18">
        <f>IFERROR(VLOOKUP(B137,Alumnos!$A:$B,2,FALSE),"")</f>
        <v/>
      </c>
      <c r="I137" s="24">
        <f>IF(OR(G137="",H137=""),"",G137/H137)</f>
        <v/>
      </c>
    </row>
    <row r="138">
      <c r="A138" s="19" t="n"/>
      <c r="C138" s="18">
        <f>IFERROR(VLOOKUP(B138,Alumnos!$A:$B,2,FALSE),"")</f>
        <v/>
      </c>
      <c r="I138" s="24">
        <f>IF(OR(G138="",H138=""),"",G138/H138)</f>
        <v/>
      </c>
    </row>
    <row r="139">
      <c r="A139" s="19" t="n"/>
      <c r="C139" s="18">
        <f>IFERROR(VLOOKUP(B139,Alumnos!$A:$B,2,FALSE),"")</f>
        <v/>
      </c>
      <c r="I139" s="24">
        <f>IF(OR(G139="",H139=""),"",G139/H139)</f>
        <v/>
      </c>
    </row>
    <row r="140">
      <c r="A140" s="19" t="n"/>
      <c r="C140" s="18">
        <f>IFERROR(VLOOKUP(B140,Alumnos!$A:$B,2,FALSE),"")</f>
        <v/>
      </c>
      <c r="I140" s="24">
        <f>IF(OR(G140="",H140=""),"",G140/H140)</f>
        <v/>
      </c>
    </row>
    <row r="141">
      <c r="A141" s="19" t="n"/>
      <c r="C141" s="18">
        <f>IFERROR(VLOOKUP(B141,Alumnos!$A:$B,2,FALSE),"")</f>
        <v/>
      </c>
      <c r="I141" s="24">
        <f>IF(OR(G141="",H141=""),"",G141/H141)</f>
        <v/>
      </c>
    </row>
    <row r="142">
      <c r="A142" s="19" t="n"/>
      <c r="C142" s="18">
        <f>IFERROR(VLOOKUP(B142,Alumnos!$A:$B,2,FALSE),"")</f>
        <v/>
      </c>
      <c r="I142" s="24">
        <f>IF(OR(G142="",H142=""),"",G142/H142)</f>
        <v/>
      </c>
    </row>
    <row r="143">
      <c r="A143" s="19" t="n"/>
      <c r="C143" s="18">
        <f>IFERROR(VLOOKUP(B143,Alumnos!$A:$B,2,FALSE),"")</f>
        <v/>
      </c>
      <c r="I143" s="24">
        <f>IF(OR(G143="",H143=""),"",G143/H143)</f>
        <v/>
      </c>
    </row>
    <row r="144">
      <c r="A144" s="19" t="n"/>
      <c r="C144" s="18">
        <f>IFERROR(VLOOKUP(B144,Alumnos!$A:$B,2,FALSE),"")</f>
        <v/>
      </c>
      <c r="I144" s="24">
        <f>IF(OR(G144="",H144=""),"",G144/H144)</f>
        <v/>
      </c>
    </row>
    <row r="145">
      <c r="A145" s="19" t="n"/>
      <c r="C145" s="18">
        <f>IFERROR(VLOOKUP(B145,Alumnos!$A:$B,2,FALSE),"")</f>
        <v/>
      </c>
      <c r="I145" s="24">
        <f>IF(OR(G145="",H145=""),"",G145/H145)</f>
        <v/>
      </c>
    </row>
    <row r="146">
      <c r="A146" s="19" t="n"/>
      <c r="C146" s="18">
        <f>IFERROR(VLOOKUP(B146,Alumnos!$A:$B,2,FALSE),"")</f>
        <v/>
      </c>
      <c r="I146" s="24">
        <f>IF(OR(G146="",H146=""),"",G146/H146)</f>
        <v/>
      </c>
    </row>
    <row r="147">
      <c r="A147" s="19" t="n"/>
      <c r="C147" s="18">
        <f>IFERROR(VLOOKUP(B147,Alumnos!$A:$B,2,FALSE),"")</f>
        <v/>
      </c>
      <c r="I147" s="24">
        <f>IF(OR(G147="",H147=""),"",G147/H147)</f>
        <v/>
      </c>
    </row>
    <row r="148">
      <c r="A148" s="19" t="n"/>
      <c r="C148" s="18">
        <f>IFERROR(VLOOKUP(B148,Alumnos!$A:$B,2,FALSE),"")</f>
        <v/>
      </c>
      <c r="I148" s="24">
        <f>IF(OR(G148="",H148=""),"",G148/H148)</f>
        <v/>
      </c>
    </row>
    <row r="149">
      <c r="A149" s="19" t="n"/>
      <c r="C149" s="18">
        <f>IFERROR(VLOOKUP(B149,Alumnos!$A:$B,2,FALSE),"")</f>
        <v/>
      </c>
      <c r="I149" s="24">
        <f>IF(OR(G149="",H149=""),"",G149/H149)</f>
        <v/>
      </c>
    </row>
    <row r="150">
      <c r="A150" s="19" t="n"/>
      <c r="C150" s="18">
        <f>IFERROR(VLOOKUP(B150,Alumnos!$A:$B,2,FALSE),"")</f>
        <v/>
      </c>
      <c r="I150" s="24">
        <f>IF(OR(G150="",H150=""),"",G150/H150)</f>
        <v/>
      </c>
    </row>
    <row r="151">
      <c r="A151" s="19" t="n"/>
      <c r="C151" s="18">
        <f>IFERROR(VLOOKUP(B151,Alumnos!$A:$B,2,FALSE),"")</f>
        <v/>
      </c>
      <c r="I151" s="24">
        <f>IF(OR(G151="",H151=""),"",G151/H151)</f>
        <v/>
      </c>
    </row>
    <row r="152">
      <c r="A152" s="19" t="n"/>
      <c r="C152" s="18">
        <f>IFERROR(VLOOKUP(B152,Alumnos!$A:$B,2,FALSE),"")</f>
        <v/>
      </c>
      <c r="I152" s="24">
        <f>IF(OR(G152="",H152=""),"",G152/H152)</f>
        <v/>
      </c>
    </row>
    <row r="153">
      <c r="A153" s="19" t="n"/>
      <c r="C153" s="18">
        <f>IFERROR(VLOOKUP(B153,Alumnos!$A:$B,2,FALSE),"")</f>
        <v/>
      </c>
      <c r="I153" s="24">
        <f>IF(OR(G153="",H153=""),"",G153/H153)</f>
        <v/>
      </c>
    </row>
    <row r="154">
      <c r="A154" s="19" t="n"/>
      <c r="C154" s="18">
        <f>IFERROR(VLOOKUP(B154,Alumnos!$A:$B,2,FALSE),"")</f>
        <v/>
      </c>
      <c r="I154" s="24">
        <f>IF(OR(G154="",H154=""),"",G154/H154)</f>
        <v/>
      </c>
    </row>
    <row r="155">
      <c r="A155" s="19" t="n"/>
      <c r="C155" s="18">
        <f>IFERROR(VLOOKUP(B155,Alumnos!$A:$B,2,FALSE),"")</f>
        <v/>
      </c>
      <c r="I155" s="24">
        <f>IF(OR(G155="",H155=""),"",G155/H155)</f>
        <v/>
      </c>
    </row>
    <row r="156">
      <c r="A156" s="19" t="n"/>
      <c r="C156" s="18">
        <f>IFERROR(VLOOKUP(B156,Alumnos!$A:$B,2,FALSE),"")</f>
        <v/>
      </c>
      <c r="I156" s="24">
        <f>IF(OR(G156="",H156=""),"",G156/H156)</f>
        <v/>
      </c>
    </row>
    <row r="157">
      <c r="A157" s="19" t="n"/>
      <c r="C157" s="18">
        <f>IFERROR(VLOOKUP(B157,Alumnos!$A:$B,2,FALSE),"")</f>
        <v/>
      </c>
      <c r="I157" s="24">
        <f>IF(OR(G157="",H157=""),"",G157/H157)</f>
        <v/>
      </c>
    </row>
    <row r="158">
      <c r="A158" s="19" t="n"/>
      <c r="C158" s="18">
        <f>IFERROR(VLOOKUP(B158,Alumnos!$A:$B,2,FALSE),"")</f>
        <v/>
      </c>
      <c r="I158" s="24">
        <f>IF(OR(G158="",H158=""),"",G158/H158)</f>
        <v/>
      </c>
    </row>
    <row r="159">
      <c r="A159" s="19" t="n"/>
      <c r="C159" s="18">
        <f>IFERROR(VLOOKUP(B159,Alumnos!$A:$B,2,FALSE),"")</f>
        <v/>
      </c>
      <c r="I159" s="24">
        <f>IF(OR(G159="",H159=""),"",G159/H159)</f>
        <v/>
      </c>
    </row>
    <row r="160">
      <c r="A160" s="19" t="n"/>
      <c r="C160" s="18">
        <f>IFERROR(VLOOKUP(B160,Alumnos!$A:$B,2,FALSE),"")</f>
        <v/>
      </c>
      <c r="I160" s="24">
        <f>IF(OR(G160="",H160=""),"",G160/H160)</f>
        <v/>
      </c>
    </row>
    <row r="161">
      <c r="A161" s="19" t="n"/>
      <c r="C161" s="18">
        <f>IFERROR(VLOOKUP(B161,Alumnos!$A:$B,2,FALSE),"")</f>
        <v/>
      </c>
      <c r="I161" s="24">
        <f>IF(OR(G161="",H161=""),"",G161/H161)</f>
        <v/>
      </c>
    </row>
    <row r="162">
      <c r="A162" s="19" t="n"/>
      <c r="C162" s="18">
        <f>IFERROR(VLOOKUP(B162,Alumnos!$A:$B,2,FALSE),"")</f>
        <v/>
      </c>
      <c r="I162" s="24">
        <f>IF(OR(G162="",H162=""),"",G162/H162)</f>
        <v/>
      </c>
    </row>
    <row r="163">
      <c r="A163" s="19" t="n"/>
      <c r="C163" s="18">
        <f>IFERROR(VLOOKUP(B163,Alumnos!$A:$B,2,FALSE),"")</f>
        <v/>
      </c>
      <c r="I163" s="24">
        <f>IF(OR(G163="",H163=""),"",G163/H163)</f>
        <v/>
      </c>
    </row>
    <row r="164">
      <c r="A164" s="19" t="n"/>
      <c r="C164" s="18">
        <f>IFERROR(VLOOKUP(B164,Alumnos!$A:$B,2,FALSE),"")</f>
        <v/>
      </c>
      <c r="I164" s="24">
        <f>IF(OR(G164="",H164=""),"",G164/H164)</f>
        <v/>
      </c>
    </row>
    <row r="165">
      <c r="A165" s="19" t="n"/>
      <c r="C165" s="18">
        <f>IFERROR(VLOOKUP(B165,Alumnos!$A:$B,2,FALSE),"")</f>
        <v/>
      </c>
      <c r="I165" s="24">
        <f>IF(OR(G165="",H165=""),"",G165/H165)</f>
        <v/>
      </c>
    </row>
    <row r="166">
      <c r="A166" s="19" t="n"/>
      <c r="C166" s="18">
        <f>IFERROR(VLOOKUP(B166,Alumnos!$A:$B,2,FALSE),"")</f>
        <v/>
      </c>
      <c r="I166" s="24">
        <f>IF(OR(G166="",H166=""),"",G166/H166)</f>
        <v/>
      </c>
    </row>
    <row r="167">
      <c r="A167" s="19" t="n"/>
      <c r="C167" s="18">
        <f>IFERROR(VLOOKUP(B167,Alumnos!$A:$B,2,FALSE),"")</f>
        <v/>
      </c>
      <c r="I167" s="24">
        <f>IF(OR(G167="",H167=""),"",G167/H167)</f>
        <v/>
      </c>
    </row>
    <row r="168">
      <c r="A168" s="19" t="n"/>
      <c r="C168" s="18">
        <f>IFERROR(VLOOKUP(B168,Alumnos!$A:$B,2,FALSE),"")</f>
        <v/>
      </c>
      <c r="I168" s="24">
        <f>IF(OR(G168="",H168=""),"",G168/H168)</f>
        <v/>
      </c>
    </row>
    <row r="169">
      <c r="A169" s="19" t="n"/>
      <c r="C169" s="18">
        <f>IFERROR(VLOOKUP(B169,Alumnos!$A:$B,2,FALSE),"")</f>
        <v/>
      </c>
      <c r="I169" s="24">
        <f>IF(OR(G169="",H169=""),"",G169/H169)</f>
        <v/>
      </c>
    </row>
    <row r="170">
      <c r="A170" s="19" t="n"/>
      <c r="C170" s="18">
        <f>IFERROR(VLOOKUP(B170,Alumnos!$A:$B,2,FALSE),"")</f>
        <v/>
      </c>
      <c r="I170" s="24">
        <f>IF(OR(G170="",H170=""),"",G170/H170)</f>
        <v/>
      </c>
    </row>
    <row r="171">
      <c r="A171" s="19" t="n"/>
      <c r="C171" s="18">
        <f>IFERROR(VLOOKUP(B171,Alumnos!$A:$B,2,FALSE),"")</f>
        <v/>
      </c>
      <c r="I171" s="24">
        <f>IF(OR(G171="",H171=""),"",G171/H171)</f>
        <v/>
      </c>
    </row>
    <row r="172">
      <c r="A172" s="19" t="n"/>
      <c r="C172" s="18">
        <f>IFERROR(VLOOKUP(B172,Alumnos!$A:$B,2,FALSE),"")</f>
        <v/>
      </c>
      <c r="I172" s="24">
        <f>IF(OR(G172="",H172=""),"",G172/H172)</f>
        <v/>
      </c>
    </row>
    <row r="173">
      <c r="A173" s="19" t="n"/>
      <c r="C173" s="18">
        <f>IFERROR(VLOOKUP(B173,Alumnos!$A:$B,2,FALSE),"")</f>
        <v/>
      </c>
      <c r="I173" s="24">
        <f>IF(OR(G173="",H173=""),"",G173/H173)</f>
        <v/>
      </c>
    </row>
    <row r="174">
      <c r="A174" s="19" t="n"/>
      <c r="C174" s="18">
        <f>IFERROR(VLOOKUP(B174,Alumnos!$A:$B,2,FALSE),"")</f>
        <v/>
      </c>
      <c r="I174" s="24">
        <f>IF(OR(G174="",H174=""),"",G174/H174)</f>
        <v/>
      </c>
    </row>
    <row r="175">
      <c r="A175" s="19" t="n"/>
      <c r="C175" s="18">
        <f>IFERROR(VLOOKUP(B175,Alumnos!$A:$B,2,FALSE),"")</f>
        <v/>
      </c>
      <c r="I175" s="24">
        <f>IF(OR(G175="",H175=""),"",G175/H175)</f>
        <v/>
      </c>
    </row>
    <row r="176">
      <c r="A176" s="19" t="n"/>
      <c r="C176" s="18">
        <f>IFERROR(VLOOKUP(B176,Alumnos!$A:$B,2,FALSE),"")</f>
        <v/>
      </c>
      <c r="I176" s="24">
        <f>IF(OR(G176="",H176=""),"",G176/H176)</f>
        <v/>
      </c>
    </row>
    <row r="177">
      <c r="A177" s="19" t="n"/>
      <c r="C177" s="18">
        <f>IFERROR(VLOOKUP(B177,Alumnos!$A:$B,2,FALSE),"")</f>
        <v/>
      </c>
      <c r="I177" s="24">
        <f>IF(OR(G177="",H177=""),"",G177/H177)</f>
        <v/>
      </c>
    </row>
    <row r="178">
      <c r="A178" s="19" t="n"/>
      <c r="C178" s="18">
        <f>IFERROR(VLOOKUP(B178,Alumnos!$A:$B,2,FALSE),"")</f>
        <v/>
      </c>
      <c r="I178" s="24">
        <f>IF(OR(G178="",H178=""),"",G178/H178)</f>
        <v/>
      </c>
    </row>
    <row r="179">
      <c r="A179" s="19" t="n"/>
      <c r="C179" s="18">
        <f>IFERROR(VLOOKUP(B179,Alumnos!$A:$B,2,FALSE),"")</f>
        <v/>
      </c>
      <c r="I179" s="24">
        <f>IF(OR(G179="",H179=""),"",G179/H179)</f>
        <v/>
      </c>
    </row>
    <row r="180">
      <c r="A180" s="19" t="n"/>
      <c r="C180" s="18">
        <f>IFERROR(VLOOKUP(B180,Alumnos!$A:$B,2,FALSE),"")</f>
        <v/>
      </c>
      <c r="I180" s="24">
        <f>IF(OR(G180="",H180=""),"",G180/H180)</f>
        <v/>
      </c>
    </row>
    <row r="181">
      <c r="A181" s="19" t="n"/>
      <c r="C181" s="18">
        <f>IFERROR(VLOOKUP(B181,Alumnos!$A:$B,2,FALSE),"")</f>
        <v/>
      </c>
      <c r="I181" s="24">
        <f>IF(OR(G181="",H181=""),"",G181/H181)</f>
        <v/>
      </c>
    </row>
    <row r="182">
      <c r="A182" s="19" t="n"/>
      <c r="C182" s="18">
        <f>IFERROR(VLOOKUP(B182,Alumnos!$A:$B,2,FALSE),"")</f>
        <v/>
      </c>
      <c r="I182" s="24">
        <f>IF(OR(G182="",H182=""),"",G182/H182)</f>
        <v/>
      </c>
    </row>
    <row r="183">
      <c r="A183" s="19" t="n"/>
      <c r="C183" s="18">
        <f>IFERROR(VLOOKUP(B183,Alumnos!$A:$B,2,FALSE),"")</f>
        <v/>
      </c>
      <c r="I183" s="24">
        <f>IF(OR(G183="",H183=""),"",G183/H183)</f>
        <v/>
      </c>
    </row>
    <row r="184">
      <c r="A184" s="19" t="n"/>
      <c r="C184" s="18">
        <f>IFERROR(VLOOKUP(B184,Alumnos!$A:$B,2,FALSE),"")</f>
        <v/>
      </c>
      <c r="I184" s="24">
        <f>IF(OR(G184="",H184=""),"",G184/H184)</f>
        <v/>
      </c>
    </row>
    <row r="185">
      <c r="A185" s="19" t="n"/>
      <c r="C185" s="18">
        <f>IFERROR(VLOOKUP(B185,Alumnos!$A:$B,2,FALSE),"")</f>
        <v/>
      </c>
      <c r="I185" s="24">
        <f>IF(OR(G185="",H185=""),"",G185/H185)</f>
        <v/>
      </c>
    </row>
    <row r="186">
      <c r="A186" s="19" t="n"/>
      <c r="C186" s="18">
        <f>IFERROR(VLOOKUP(B186,Alumnos!$A:$B,2,FALSE),"")</f>
        <v/>
      </c>
      <c r="I186" s="24">
        <f>IF(OR(G186="",H186=""),"",G186/H186)</f>
        <v/>
      </c>
    </row>
    <row r="187">
      <c r="A187" s="19" t="n"/>
      <c r="C187" s="18">
        <f>IFERROR(VLOOKUP(B187,Alumnos!$A:$B,2,FALSE),"")</f>
        <v/>
      </c>
      <c r="I187" s="24">
        <f>IF(OR(G187="",H187=""),"",G187/H187)</f>
        <v/>
      </c>
    </row>
    <row r="188">
      <c r="A188" s="19" t="n"/>
      <c r="C188" s="18">
        <f>IFERROR(VLOOKUP(B188,Alumnos!$A:$B,2,FALSE),"")</f>
        <v/>
      </c>
      <c r="I188" s="24">
        <f>IF(OR(G188="",H188=""),"",G188/H188)</f>
        <v/>
      </c>
    </row>
    <row r="189">
      <c r="A189" s="19" t="n"/>
      <c r="C189" s="18">
        <f>IFERROR(VLOOKUP(B189,Alumnos!$A:$B,2,FALSE),"")</f>
        <v/>
      </c>
      <c r="I189" s="24">
        <f>IF(OR(G189="",H189=""),"",G189/H189)</f>
        <v/>
      </c>
    </row>
    <row r="190">
      <c r="A190" s="19" t="n"/>
      <c r="C190" s="18">
        <f>IFERROR(VLOOKUP(B190,Alumnos!$A:$B,2,FALSE),"")</f>
        <v/>
      </c>
      <c r="I190" s="24">
        <f>IF(OR(G190="",H190=""),"",G190/H190)</f>
        <v/>
      </c>
    </row>
    <row r="191">
      <c r="A191" s="19" t="n"/>
      <c r="C191" s="18">
        <f>IFERROR(VLOOKUP(B191,Alumnos!$A:$B,2,FALSE),"")</f>
        <v/>
      </c>
      <c r="I191" s="24">
        <f>IF(OR(G191="",H191=""),"",G191/H191)</f>
        <v/>
      </c>
    </row>
    <row r="192">
      <c r="A192" s="19" t="n"/>
      <c r="C192" s="18">
        <f>IFERROR(VLOOKUP(B192,Alumnos!$A:$B,2,FALSE),"")</f>
        <v/>
      </c>
      <c r="I192" s="24">
        <f>IF(OR(G192="",H192=""),"",G192/H192)</f>
        <v/>
      </c>
    </row>
    <row r="193">
      <c r="A193" s="19" t="n"/>
      <c r="C193" s="18">
        <f>IFERROR(VLOOKUP(B193,Alumnos!$A:$B,2,FALSE),"")</f>
        <v/>
      </c>
      <c r="I193" s="24">
        <f>IF(OR(G193="",H193=""),"",G193/H193)</f>
        <v/>
      </c>
    </row>
    <row r="194">
      <c r="A194" s="19" t="n"/>
      <c r="C194" s="18">
        <f>IFERROR(VLOOKUP(B194,Alumnos!$A:$B,2,FALSE),"")</f>
        <v/>
      </c>
      <c r="I194" s="24">
        <f>IF(OR(G194="",H194=""),"",G194/H194)</f>
        <v/>
      </c>
    </row>
    <row r="195">
      <c r="A195" s="19" t="n"/>
      <c r="C195" s="18">
        <f>IFERROR(VLOOKUP(B195,Alumnos!$A:$B,2,FALSE),"")</f>
        <v/>
      </c>
      <c r="I195" s="24">
        <f>IF(OR(G195="",H195=""),"",G195/H195)</f>
        <v/>
      </c>
    </row>
    <row r="196">
      <c r="A196" s="19" t="n"/>
      <c r="C196" s="18">
        <f>IFERROR(VLOOKUP(B196,Alumnos!$A:$B,2,FALSE),"")</f>
        <v/>
      </c>
      <c r="I196" s="24">
        <f>IF(OR(G196="",H196=""),"",G196/H196)</f>
        <v/>
      </c>
    </row>
    <row r="197">
      <c r="A197" s="19" t="n"/>
      <c r="C197" s="18">
        <f>IFERROR(VLOOKUP(B197,Alumnos!$A:$B,2,FALSE),"")</f>
        <v/>
      </c>
      <c r="I197" s="24">
        <f>IF(OR(G197="",H197=""),"",G197/H197)</f>
        <v/>
      </c>
    </row>
    <row r="198">
      <c r="A198" s="19" t="n"/>
      <c r="C198" s="18">
        <f>IFERROR(VLOOKUP(B198,Alumnos!$A:$B,2,FALSE),"")</f>
        <v/>
      </c>
      <c r="I198" s="24">
        <f>IF(OR(G198="",H198=""),"",G198/H198)</f>
        <v/>
      </c>
    </row>
    <row r="199">
      <c r="A199" s="19" t="n"/>
      <c r="C199" s="18">
        <f>IFERROR(VLOOKUP(B199,Alumnos!$A:$B,2,FALSE),"")</f>
        <v/>
      </c>
      <c r="I199" s="24">
        <f>IF(OR(G199="",H199=""),"",G199/H199)</f>
        <v/>
      </c>
    </row>
    <row r="200">
      <c r="A200" s="19" t="n"/>
      <c r="C200" s="18">
        <f>IFERROR(VLOOKUP(B200,Alumnos!$A:$B,2,FALSE),"")</f>
        <v/>
      </c>
      <c r="I200" s="24">
        <f>IF(OR(G200="",H200=""),"",G200/H200)</f>
        <v/>
      </c>
    </row>
    <row r="201">
      <c r="A201" s="19" t="n"/>
      <c r="C201" s="18">
        <f>IFERROR(VLOOKUP(B201,Alumnos!$A:$B,2,FALSE),"")</f>
        <v/>
      </c>
      <c r="I201" s="24">
        <f>IF(OR(G201="",H201=""),"",G201/H201)</f>
        <v/>
      </c>
    </row>
    <row r="202">
      <c r="A202" s="19" t="n"/>
      <c r="C202" s="18">
        <f>IFERROR(VLOOKUP(B202,Alumnos!$A:$B,2,FALSE),"")</f>
        <v/>
      </c>
      <c r="I202" s="24">
        <f>IF(OR(G202="",H202=""),"",G202/H202)</f>
        <v/>
      </c>
    </row>
    <row r="203">
      <c r="A203" s="19" t="n"/>
      <c r="C203" s="18">
        <f>IFERROR(VLOOKUP(B203,Alumnos!$A:$B,2,FALSE),"")</f>
        <v/>
      </c>
      <c r="I203" s="24">
        <f>IF(OR(G203="",H203=""),"",G203/H203)</f>
        <v/>
      </c>
    </row>
    <row r="204">
      <c r="A204" s="19" t="n"/>
      <c r="C204" s="18">
        <f>IFERROR(VLOOKUP(B204,Alumnos!$A:$B,2,FALSE),"")</f>
        <v/>
      </c>
      <c r="I204" s="24">
        <f>IF(OR(G204="",H204=""),"",G204/H204)</f>
        <v/>
      </c>
    </row>
    <row r="205">
      <c r="A205" s="19" t="n"/>
      <c r="C205" s="18">
        <f>IFERROR(VLOOKUP(B205,Alumnos!$A:$B,2,FALSE),"")</f>
        <v/>
      </c>
      <c r="I205" s="24">
        <f>IF(OR(G205="",H205=""),"",G205/H205)</f>
        <v/>
      </c>
    </row>
    <row r="206">
      <c r="A206" s="19" t="n"/>
      <c r="C206" s="18">
        <f>IFERROR(VLOOKUP(B206,Alumnos!$A:$B,2,FALSE),"")</f>
        <v/>
      </c>
      <c r="I206" s="24">
        <f>IF(OR(G206="",H206=""),"",G206/H206)</f>
        <v/>
      </c>
    </row>
    <row r="207">
      <c r="A207" s="19" t="n"/>
      <c r="C207" s="18">
        <f>IFERROR(VLOOKUP(B207,Alumnos!$A:$B,2,FALSE),"")</f>
        <v/>
      </c>
      <c r="I207" s="24">
        <f>IF(OR(G207="",H207=""),"",G207/H207)</f>
        <v/>
      </c>
    </row>
    <row r="208">
      <c r="A208" s="19" t="n"/>
      <c r="C208" s="18">
        <f>IFERROR(VLOOKUP(B208,Alumnos!$A:$B,2,FALSE),"")</f>
        <v/>
      </c>
      <c r="I208" s="24">
        <f>IF(OR(G208="",H208=""),"",G208/H208)</f>
        <v/>
      </c>
    </row>
    <row r="209">
      <c r="A209" s="19" t="n"/>
      <c r="C209" s="18">
        <f>IFERROR(VLOOKUP(B209,Alumnos!$A:$B,2,FALSE),"")</f>
        <v/>
      </c>
      <c r="I209" s="24">
        <f>IF(OR(G209="",H209=""),"",G209/H209)</f>
        <v/>
      </c>
    </row>
    <row r="210">
      <c r="A210" s="19" t="n"/>
      <c r="C210" s="18">
        <f>IFERROR(VLOOKUP(B210,Alumnos!$A:$B,2,FALSE),"")</f>
        <v/>
      </c>
      <c r="I210" s="24">
        <f>IF(OR(G210="",H210=""),"",G210/H210)</f>
        <v/>
      </c>
    </row>
    <row r="211">
      <c r="A211" s="19" t="n"/>
      <c r="C211" s="18">
        <f>IFERROR(VLOOKUP(B211,Alumnos!$A:$B,2,FALSE),"")</f>
        <v/>
      </c>
      <c r="I211" s="24">
        <f>IF(OR(G211="",H211=""),"",G211/H211)</f>
        <v/>
      </c>
    </row>
    <row r="212">
      <c r="A212" s="19" t="n"/>
      <c r="C212" s="18">
        <f>IFERROR(VLOOKUP(B212,Alumnos!$A:$B,2,FALSE),"")</f>
        <v/>
      </c>
      <c r="I212" s="24">
        <f>IF(OR(G212="",H212=""),"",G212/H212)</f>
        <v/>
      </c>
    </row>
    <row r="213">
      <c r="A213" s="19" t="n"/>
      <c r="C213" s="18">
        <f>IFERROR(VLOOKUP(B213,Alumnos!$A:$B,2,FALSE),"")</f>
        <v/>
      </c>
      <c r="I213" s="24">
        <f>IF(OR(G213="",H213=""),"",G213/H213)</f>
        <v/>
      </c>
    </row>
    <row r="214">
      <c r="A214" s="19" t="n"/>
      <c r="C214" s="18">
        <f>IFERROR(VLOOKUP(B214,Alumnos!$A:$B,2,FALSE),"")</f>
        <v/>
      </c>
      <c r="I214" s="24">
        <f>IF(OR(G214="",H214=""),"",G214/H214)</f>
        <v/>
      </c>
    </row>
    <row r="215">
      <c r="A215" s="19" t="n"/>
      <c r="C215" s="18">
        <f>IFERROR(VLOOKUP(B215,Alumnos!$A:$B,2,FALSE),"")</f>
        <v/>
      </c>
      <c r="I215" s="24">
        <f>IF(OR(G215="",H215=""),"",G215/H215)</f>
        <v/>
      </c>
    </row>
    <row r="216">
      <c r="A216" s="19" t="n"/>
      <c r="C216" s="18">
        <f>IFERROR(VLOOKUP(B216,Alumnos!$A:$B,2,FALSE),"")</f>
        <v/>
      </c>
      <c r="I216" s="24">
        <f>IF(OR(G216="",H216=""),"",G216/H216)</f>
        <v/>
      </c>
    </row>
    <row r="217">
      <c r="A217" s="19" t="n"/>
      <c r="C217" s="18">
        <f>IFERROR(VLOOKUP(B217,Alumnos!$A:$B,2,FALSE),"")</f>
        <v/>
      </c>
      <c r="I217" s="24">
        <f>IF(OR(G217="",H217=""),"",G217/H217)</f>
        <v/>
      </c>
    </row>
    <row r="218">
      <c r="A218" s="19" t="n"/>
      <c r="C218" s="18">
        <f>IFERROR(VLOOKUP(B218,Alumnos!$A:$B,2,FALSE),"")</f>
        <v/>
      </c>
      <c r="I218" s="24">
        <f>IF(OR(G218="",H218=""),"",G218/H218)</f>
        <v/>
      </c>
    </row>
    <row r="219">
      <c r="A219" s="19" t="n"/>
      <c r="C219" s="18">
        <f>IFERROR(VLOOKUP(B219,Alumnos!$A:$B,2,FALSE),"")</f>
        <v/>
      </c>
      <c r="I219" s="24">
        <f>IF(OR(G219="",H219=""),"",G219/H219)</f>
        <v/>
      </c>
    </row>
    <row r="220">
      <c r="A220" s="19" t="n"/>
      <c r="C220" s="18">
        <f>IFERROR(VLOOKUP(B220,Alumnos!$A:$B,2,FALSE),"")</f>
        <v/>
      </c>
      <c r="I220" s="24">
        <f>IF(OR(G220="",H220=""),"",G220/H220)</f>
        <v/>
      </c>
    </row>
    <row r="221">
      <c r="A221" s="19" t="n"/>
      <c r="C221" s="18">
        <f>IFERROR(VLOOKUP(B221,Alumnos!$A:$B,2,FALSE),"")</f>
        <v/>
      </c>
      <c r="I221" s="24">
        <f>IF(OR(G221="",H221=""),"",G221/H221)</f>
        <v/>
      </c>
    </row>
    <row r="222">
      <c r="A222" s="19" t="n"/>
      <c r="C222" s="18">
        <f>IFERROR(VLOOKUP(B222,Alumnos!$A:$B,2,FALSE),"")</f>
        <v/>
      </c>
      <c r="I222" s="24">
        <f>IF(OR(G222="",H222=""),"",G222/H222)</f>
        <v/>
      </c>
    </row>
    <row r="223">
      <c r="A223" s="19" t="n"/>
      <c r="C223" s="18">
        <f>IFERROR(VLOOKUP(B223,Alumnos!$A:$B,2,FALSE),"")</f>
        <v/>
      </c>
      <c r="I223" s="24">
        <f>IF(OR(G223="",H223=""),"",G223/H223)</f>
        <v/>
      </c>
    </row>
    <row r="224">
      <c r="A224" s="19" t="n"/>
      <c r="C224" s="18">
        <f>IFERROR(VLOOKUP(B224,Alumnos!$A:$B,2,FALSE),"")</f>
        <v/>
      </c>
      <c r="I224" s="24">
        <f>IF(OR(G224="",H224=""),"",G224/H224)</f>
        <v/>
      </c>
    </row>
    <row r="225">
      <c r="A225" s="19" t="n"/>
      <c r="C225" s="18">
        <f>IFERROR(VLOOKUP(B225,Alumnos!$A:$B,2,FALSE),"")</f>
        <v/>
      </c>
      <c r="I225" s="24">
        <f>IF(OR(G225="",H225=""),"",G225/H225)</f>
        <v/>
      </c>
    </row>
    <row r="226">
      <c r="A226" s="19" t="n"/>
      <c r="C226" s="18">
        <f>IFERROR(VLOOKUP(B226,Alumnos!$A:$B,2,FALSE),"")</f>
        <v/>
      </c>
      <c r="I226" s="24">
        <f>IF(OR(G226="",H226=""),"",G226/H226)</f>
        <v/>
      </c>
    </row>
    <row r="227">
      <c r="A227" s="19" t="n"/>
      <c r="C227" s="18">
        <f>IFERROR(VLOOKUP(B227,Alumnos!$A:$B,2,FALSE),"")</f>
        <v/>
      </c>
      <c r="I227" s="24">
        <f>IF(OR(G227="",H227=""),"",G227/H227)</f>
        <v/>
      </c>
    </row>
    <row r="228">
      <c r="A228" s="19" t="n"/>
      <c r="C228" s="18">
        <f>IFERROR(VLOOKUP(B228,Alumnos!$A:$B,2,FALSE),"")</f>
        <v/>
      </c>
      <c r="I228" s="24">
        <f>IF(OR(G228="",H228=""),"",G228/H228)</f>
        <v/>
      </c>
    </row>
    <row r="229">
      <c r="A229" s="19" t="n"/>
      <c r="C229" s="18">
        <f>IFERROR(VLOOKUP(B229,Alumnos!$A:$B,2,FALSE),"")</f>
        <v/>
      </c>
      <c r="I229" s="24">
        <f>IF(OR(G229="",H229=""),"",G229/H229)</f>
        <v/>
      </c>
    </row>
    <row r="230">
      <c r="A230" s="19" t="n"/>
      <c r="C230" s="18">
        <f>IFERROR(VLOOKUP(B230,Alumnos!$A:$B,2,FALSE),"")</f>
        <v/>
      </c>
      <c r="I230" s="24">
        <f>IF(OR(G230="",H230=""),"",G230/H230)</f>
        <v/>
      </c>
    </row>
    <row r="231">
      <c r="A231" s="19" t="n"/>
      <c r="C231" s="18">
        <f>IFERROR(VLOOKUP(B231,Alumnos!$A:$B,2,FALSE),"")</f>
        <v/>
      </c>
      <c r="I231" s="24">
        <f>IF(OR(G231="",H231=""),"",G231/H231)</f>
        <v/>
      </c>
    </row>
    <row r="232">
      <c r="A232" s="19" t="n"/>
      <c r="C232" s="18">
        <f>IFERROR(VLOOKUP(B232,Alumnos!$A:$B,2,FALSE),"")</f>
        <v/>
      </c>
      <c r="I232" s="24">
        <f>IF(OR(G232="",H232=""),"",G232/H232)</f>
        <v/>
      </c>
    </row>
    <row r="233">
      <c r="A233" s="19" t="n"/>
      <c r="C233" s="18">
        <f>IFERROR(VLOOKUP(B233,Alumnos!$A:$B,2,FALSE),"")</f>
        <v/>
      </c>
      <c r="I233" s="24">
        <f>IF(OR(G233="",H233=""),"",G233/H233)</f>
        <v/>
      </c>
    </row>
    <row r="234">
      <c r="A234" s="19" t="n"/>
      <c r="C234" s="18">
        <f>IFERROR(VLOOKUP(B234,Alumnos!$A:$B,2,FALSE),"")</f>
        <v/>
      </c>
      <c r="I234" s="24">
        <f>IF(OR(G234="",H234=""),"",G234/H234)</f>
        <v/>
      </c>
    </row>
    <row r="235">
      <c r="A235" s="19" t="n"/>
      <c r="C235" s="18">
        <f>IFERROR(VLOOKUP(B235,Alumnos!$A:$B,2,FALSE),"")</f>
        <v/>
      </c>
      <c r="I235" s="24">
        <f>IF(OR(G235="",H235=""),"",G235/H235)</f>
        <v/>
      </c>
    </row>
    <row r="236">
      <c r="A236" s="19" t="n"/>
      <c r="C236" s="18">
        <f>IFERROR(VLOOKUP(B236,Alumnos!$A:$B,2,FALSE),"")</f>
        <v/>
      </c>
      <c r="I236" s="24">
        <f>IF(OR(G236="",H236=""),"",G236/H236)</f>
        <v/>
      </c>
    </row>
    <row r="237">
      <c r="A237" s="19" t="n"/>
      <c r="C237" s="18">
        <f>IFERROR(VLOOKUP(B237,Alumnos!$A:$B,2,FALSE),"")</f>
        <v/>
      </c>
      <c r="I237" s="24">
        <f>IF(OR(G237="",H237=""),"",G237/H237)</f>
        <v/>
      </c>
    </row>
    <row r="238">
      <c r="A238" s="19" t="n"/>
      <c r="C238" s="18">
        <f>IFERROR(VLOOKUP(B238,Alumnos!$A:$B,2,FALSE),"")</f>
        <v/>
      </c>
      <c r="I238" s="24">
        <f>IF(OR(G238="",H238=""),"",G238/H238)</f>
        <v/>
      </c>
    </row>
    <row r="239">
      <c r="A239" s="19" t="n"/>
      <c r="C239" s="18">
        <f>IFERROR(VLOOKUP(B239,Alumnos!$A:$B,2,FALSE),"")</f>
        <v/>
      </c>
      <c r="I239" s="24">
        <f>IF(OR(G239="",H239=""),"",G239/H239)</f>
        <v/>
      </c>
    </row>
    <row r="240">
      <c r="A240" s="19" t="n"/>
      <c r="C240" s="18">
        <f>IFERROR(VLOOKUP(B240,Alumnos!$A:$B,2,FALSE),"")</f>
        <v/>
      </c>
      <c r="I240" s="24">
        <f>IF(OR(G240="",H240=""),"",G240/H240)</f>
        <v/>
      </c>
    </row>
    <row r="241">
      <c r="A241" s="19" t="n"/>
      <c r="C241" s="18">
        <f>IFERROR(VLOOKUP(B241,Alumnos!$A:$B,2,FALSE),"")</f>
        <v/>
      </c>
      <c r="I241" s="24">
        <f>IF(OR(G241="",H241=""),"",G241/H241)</f>
        <v/>
      </c>
    </row>
    <row r="242">
      <c r="A242" s="19" t="n"/>
      <c r="C242" s="18">
        <f>IFERROR(VLOOKUP(B242,Alumnos!$A:$B,2,FALSE),"")</f>
        <v/>
      </c>
      <c r="I242" s="24">
        <f>IF(OR(G242="",H242=""),"",G242/H242)</f>
        <v/>
      </c>
    </row>
    <row r="243">
      <c r="A243" s="19" t="n"/>
      <c r="C243" s="18">
        <f>IFERROR(VLOOKUP(B243,Alumnos!$A:$B,2,FALSE),"")</f>
        <v/>
      </c>
      <c r="I243" s="24">
        <f>IF(OR(G243="",H243=""),"",G243/H243)</f>
        <v/>
      </c>
    </row>
    <row r="244">
      <c r="A244" s="19" t="n"/>
      <c r="C244" s="18">
        <f>IFERROR(VLOOKUP(B244,Alumnos!$A:$B,2,FALSE),"")</f>
        <v/>
      </c>
      <c r="I244" s="24">
        <f>IF(OR(G244="",H244=""),"",G244/H244)</f>
        <v/>
      </c>
    </row>
    <row r="245">
      <c r="A245" s="19" t="n"/>
      <c r="C245" s="18">
        <f>IFERROR(VLOOKUP(B245,Alumnos!$A:$B,2,FALSE),"")</f>
        <v/>
      </c>
      <c r="I245" s="24">
        <f>IF(OR(G245="",H245=""),"",G245/H245)</f>
        <v/>
      </c>
    </row>
    <row r="246">
      <c r="A246" s="19" t="n"/>
      <c r="C246" s="18">
        <f>IFERROR(VLOOKUP(B246,Alumnos!$A:$B,2,FALSE),"")</f>
        <v/>
      </c>
      <c r="I246" s="24">
        <f>IF(OR(G246="",H246=""),"",G246/H246)</f>
        <v/>
      </c>
    </row>
    <row r="247">
      <c r="A247" s="19" t="n"/>
      <c r="C247" s="18">
        <f>IFERROR(VLOOKUP(B247,Alumnos!$A:$B,2,FALSE),"")</f>
        <v/>
      </c>
      <c r="I247" s="24">
        <f>IF(OR(G247="",H247=""),"",G247/H247)</f>
        <v/>
      </c>
    </row>
    <row r="248">
      <c r="A248" s="19" t="n"/>
      <c r="C248" s="18">
        <f>IFERROR(VLOOKUP(B248,Alumnos!$A:$B,2,FALSE),"")</f>
        <v/>
      </c>
      <c r="I248" s="24">
        <f>IF(OR(G248="",H248=""),"",G248/H248)</f>
        <v/>
      </c>
    </row>
    <row r="249">
      <c r="A249" s="19" t="n"/>
      <c r="C249" s="18">
        <f>IFERROR(VLOOKUP(B249,Alumnos!$A:$B,2,FALSE),"")</f>
        <v/>
      </c>
      <c r="I249" s="24">
        <f>IF(OR(G249="",H249=""),"",G249/H249)</f>
        <v/>
      </c>
    </row>
    <row r="250">
      <c r="A250" s="19" t="n"/>
      <c r="C250" s="18">
        <f>IFERROR(VLOOKUP(B250,Alumnos!$A:$B,2,FALSE),"")</f>
        <v/>
      </c>
      <c r="I250" s="24">
        <f>IF(OR(G250="",H250=""),"",G250/H250)</f>
        <v/>
      </c>
    </row>
    <row r="251">
      <c r="A251" s="19" t="n"/>
      <c r="C251" s="18">
        <f>IFERROR(VLOOKUP(B251,Alumnos!$A:$B,2,FALSE),"")</f>
        <v/>
      </c>
      <c r="I251" s="24">
        <f>IF(OR(G251="",H251=""),"",G251/H251)</f>
        <v/>
      </c>
    </row>
    <row r="252">
      <c r="A252" s="19" t="n"/>
      <c r="C252" s="18">
        <f>IFERROR(VLOOKUP(B252,Alumnos!$A:$B,2,FALSE),"")</f>
        <v/>
      </c>
      <c r="I252" s="24">
        <f>IF(OR(G252="",H252=""),"",G252/H252)</f>
        <v/>
      </c>
    </row>
    <row r="253">
      <c r="A253" s="19" t="n"/>
      <c r="C253" s="18">
        <f>IFERROR(VLOOKUP(B253,Alumnos!$A:$B,2,FALSE),"")</f>
        <v/>
      </c>
      <c r="I253" s="24">
        <f>IF(OR(G253="",H253=""),"",G253/H253)</f>
        <v/>
      </c>
    </row>
    <row r="254">
      <c r="A254" s="19" t="n"/>
      <c r="C254" s="18">
        <f>IFERROR(VLOOKUP(B254,Alumnos!$A:$B,2,FALSE),"")</f>
        <v/>
      </c>
      <c r="I254" s="24">
        <f>IF(OR(G254="",H254=""),"",G254/H254)</f>
        <v/>
      </c>
    </row>
    <row r="255">
      <c r="A255" s="19" t="n"/>
      <c r="C255" s="18">
        <f>IFERROR(VLOOKUP(B255,Alumnos!$A:$B,2,FALSE),"")</f>
        <v/>
      </c>
      <c r="I255" s="24">
        <f>IF(OR(G255="",H255=""),"",G255/H255)</f>
        <v/>
      </c>
    </row>
    <row r="256">
      <c r="A256" s="19" t="n"/>
      <c r="C256" s="18">
        <f>IFERROR(VLOOKUP(B256,Alumnos!$A:$B,2,FALSE),"")</f>
        <v/>
      </c>
      <c r="I256" s="24">
        <f>IF(OR(G256="",H256=""),"",G256/H256)</f>
        <v/>
      </c>
    </row>
    <row r="257">
      <c r="A257" s="19" t="n"/>
      <c r="C257" s="18">
        <f>IFERROR(VLOOKUP(B257,Alumnos!$A:$B,2,FALSE),"")</f>
        <v/>
      </c>
      <c r="I257" s="24">
        <f>IF(OR(G257="",H257=""),"",G257/H257)</f>
        <v/>
      </c>
    </row>
    <row r="258">
      <c r="A258" s="19" t="n"/>
      <c r="C258" s="18">
        <f>IFERROR(VLOOKUP(B258,Alumnos!$A:$B,2,FALSE),"")</f>
        <v/>
      </c>
      <c r="I258" s="24">
        <f>IF(OR(G258="",H258=""),"",G258/H258)</f>
        <v/>
      </c>
    </row>
    <row r="259">
      <c r="A259" s="19" t="n"/>
      <c r="C259" s="18">
        <f>IFERROR(VLOOKUP(B259,Alumnos!$A:$B,2,FALSE),"")</f>
        <v/>
      </c>
      <c r="I259" s="24">
        <f>IF(OR(G259="",H259=""),"",G259/H259)</f>
        <v/>
      </c>
    </row>
    <row r="260">
      <c r="A260" s="19" t="n"/>
      <c r="C260" s="18">
        <f>IFERROR(VLOOKUP(B260,Alumnos!$A:$B,2,FALSE),"")</f>
        <v/>
      </c>
      <c r="I260" s="24">
        <f>IF(OR(G260="",H260=""),"",G260/H260)</f>
        <v/>
      </c>
    </row>
    <row r="261">
      <c r="A261" s="19" t="n"/>
      <c r="C261" s="18">
        <f>IFERROR(VLOOKUP(B261,Alumnos!$A:$B,2,FALSE),"")</f>
        <v/>
      </c>
      <c r="I261" s="24">
        <f>IF(OR(G261="",H261=""),"",G261/H261)</f>
        <v/>
      </c>
    </row>
    <row r="262">
      <c r="A262" s="19" t="n"/>
      <c r="C262" s="18">
        <f>IFERROR(VLOOKUP(B262,Alumnos!$A:$B,2,FALSE),"")</f>
        <v/>
      </c>
      <c r="I262" s="24">
        <f>IF(OR(G262="",H262=""),"",G262/H262)</f>
        <v/>
      </c>
    </row>
    <row r="263">
      <c r="A263" s="19" t="n"/>
      <c r="C263" s="18">
        <f>IFERROR(VLOOKUP(B263,Alumnos!$A:$B,2,FALSE),"")</f>
        <v/>
      </c>
      <c r="I263" s="24">
        <f>IF(OR(G263="",H263=""),"",G263/H263)</f>
        <v/>
      </c>
    </row>
    <row r="264">
      <c r="A264" s="19" t="n"/>
      <c r="C264" s="18">
        <f>IFERROR(VLOOKUP(B264,Alumnos!$A:$B,2,FALSE),"")</f>
        <v/>
      </c>
      <c r="I264" s="24">
        <f>IF(OR(G264="",H264=""),"",G264/H264)</f>
        <v/>
      </c>
    </row>
    <row r="265">
      <c r="A265" s="19" t="n"/>
      <c r="C265" s="18">
        <f>IFERROR(VLOOKUP(B265,Alumnos!$A:$B,2,FALSE),"")</f>
        <v/>
      </c>
      <c r="I265" s="24">
        <f>IF(OR(G265="",H265=""),"",G265/H265)</f>
        <v/>
      </c>
    </row>
    <row r="266">
      <c r="A266" s="19" t="n"/>
      <c r="C266" s="18">
        <f>IFERROR(VLOOKUP(B266,Alumnos!$A:$B,2,FALSE),"")</f>
        <v/>
      </c>
      <c r="I266" s="24">
        <f>IF(OR(G266="",H266=""),"",G266/H266)</f>
        <v/>
      </c>
    </row>
    <row r="267">
      <c r="A267" s="19" t="n"/>
      <c r="C267" s="18">
        <f>IFERROR(VLOOKUP(B267,Alumnos!$A:$B,2,FALSE),"")</f>
        <v/>
      </c>
      <c r="I267" s="24">
        <f>IF(OR(G267="",H267=""),"",G267/H267)</f>
        <v/>
      </c>
    </row>
    <row r="268">
      <c r="A268" s="19" t="n"/>
      <c r="C268" s="18">
        <f>IFERROR(VLOOKUP(B268,Alumnos!$A:$B,2,FALSE),"")</f>
        <v/>
      </c>
      <c r="I268" s="24">
        <f>IF(OR(G268="",H268=""),"",G268/H268)</f>
        <v/>
      </c>
    </row>
    <row r="269">
      <c r="A269" s="19" t="n"/>
      <c r="C269" s="18">
        <f>IFERROR(VLOOKUP(B269,Alumnos!$A:$B,2,FALSE),"")</f>
        <v/>
      </c>
      <c r="I269" s="24">
        <f>IF(OR(G269="",H269=""),"",G269/H269)</f>
        <v/>
      </c>
    </row>
    <row r="270">
      <c r="A270" s="19" t="n"/>
      <c r="C270" s="18">
        <f>IFERROR(VLOOKUP(B270,Alumnos!$A:$B,2,FALSE),"")</f>
        <v/>
      </c>
      <c r="I270" s="24">
        <f>IF(OR(G270="",H270=""),"",G270/H270)</f>
        <v/>
      </c>
    </row>
    <row r="271">
      <c r="A271" s="19" t="n"/>
      <c r="C271" s="18">
        <f>IFERROR(VLOOKUP(B271,Alumnos!$A:$B,2,FALSE),"")</f>
        <v/>
      </c>
      <c r="I271" s="24">
        <f>IF(OR(G271="",H271=""),"",G271/H271)</f>
        <v/>
      </c>
    </row>
    <row r="272">
      <c r="A272" s="19" t="n"/>
      <c r="C272" s="18">
        <f>IFERROR(VLOOKUP(B272,Alumnos!$A:$B,2,FALSE),"")</f>
        <v/>
      </c>
      <c r="I272" s="24">
        <f>IF(OR(G272="",H272=""),"",G272/H272)</f>
        <v/>
      </c>
    </row>
    <row r="273">
      <c r="A273" s="19" t="n"/>
      <c r="C273" s="18">
        <f>IFERROR(VLOOKUP(B273,Alumnos!$A:$B,2,FALSE),"")</f>
        <v/>
      </c>
      <c r="I273" s="24">
        <f>IF(OR(G273="",H273=""),"",G273/H273)</f>
        <v/>
      </c>
    </row>
    <row r="274">
      <c r="A274" s="19" t="n"/>
      <c r="C274" s="18">
        <f>IFERROR(VLOOKUP(B274,Alumnos!$A:$B,2,FALSE),"")</f>
        <v/>
      </c>
      <c r="I274" s="24">
        <f>IF(OR(G274="",H274=""),"",G274/H274)</f>
        <v/>
      </c>
    </row>
    <row r="275">
      <c r="A275" s="19" t="n"/>
      <c r="C275" s="18">
        <f>IFERROR(VLOOKUP(B275,Alumnos!$A:$B,2,FALSE),"")</f>
        <v/>
      </c>
      <c r="I275" s="24">
        <f>IF(OR(G275="",H275=""),"",G275/H275)</f>
        <v/>
      </c>
    </row>
    <row r="276">
      <c r="A276" s="19" t="n"/>
      <c r="C276" s="18">
        <f>IFERROR(VLOOKUP(B276,Alumnos!$A:$B,2,FALSE),"")</f>
        <v/>
      </c>
      <c r="I276" s="24">
        <f>IF(OR(G276="",H276=""),"",G276/H276)</f>
        <v/>
      </c>
    </row>
    <row r="277">
      <c r="A277" s="19" t="n"/>
      <c r="C277" s="18">
        <f>IFERROR(VLOOKUP(B277,Alumnos!$A:$B,2,FALSE),"")</f>
        <v/>
      </c>
      <c r="I277" s="24">
        <f>IF(OR(G277="",H277=""),"",G277/H277)</f>
        <v/>
      </c>
    </row>
    <row r="278">
      <c r="A278" s="19" t="n"/>
      <c r="C278" s="18">
        <f>IFERROR(VLOOKUP(B278,Alumnos!$A:$B,2,FALSE),"")</f>
        <v/>
      </c>
      <c r="I278" s="24">
        <f>IF(OR(G278="",H278=""),"",G278/H278)</f>
        <v/>
      </c>
    </row>
    <row r="279">
      <c r="A279" s="19" t="n"/>
      <c r="C279" s="18">
        <f>IFERROR(VLOOKUP(B279,Alumnos!$A:$B,2,FALSE),"")</f>
        <v/>
      </c>
      <c r="I279" s="24">
        <f>IF(OR(G279="",H279=""),"",G279/H279)</f>
        <v/>
      </c>
    </row>
    <row r="280">
      <c r="A280" s="19" t="n"/>
      <c r="C280" s="18">
        <f>IFERROR(VLOOKUP(B280,Alumnos!$A:$B,2,FALSE),"")</f>
        <v/>
      </c>
      <c r="I280" s="24">
        <f>IF(OR(G280="",H280=""),"",G280/H280)</f>
        <v/>
      </c>
    </row>
    <row r="281">
      <c r="A281" s="19" t="n"/>
      <c r="C281" s="18">
        <f>IFERROR(VLOOKUP(B281,Alumnos!$A:$B,2,FALSE),"")</f>
        <v/>
      </c>
      <c r="I281" s="24">
        <f>IF(OR(G281="",H281=""),"",G281/H281)</f>
        <v/>
      </c>
    </row>
    <row r="282">
      <c r="A282" s="19" t="n"/>
      <c r="C282" s="18">
        <f>IFERROR(VLOOKUP(B282,Alumnos!$A:$B,2,FALSE),"")</f>
        <v/>
      </c>
      <c r="I282" s="24">
        <f>IF(OR(G282="",H282=""),"",G282/H282)</f>
        <v/>
      </c>
    </row>
    <row r="283">
      <c r="A283" s="19" t="n"/>
      <c r="C283" s="18">
        <f>IFERROR(VLOOKUP(B283,Alumnos!$A:$B,2,FALSE),"")</f>
        <v/>
      </c>
      <c r="I283" s="24">
        <f>IF(OR(G283="",H283=""),"",G283/H283)</f>
        <v/>
      </c>
    </row>
    <row r="284">
      <c r="A284" s="19" t="n"/>
      <c r="C284" s="18">
        <f>IFERROR(VLOOKUP(B284,Alumnos!$A:$B,2,FALSE),"")</f>
        <v/>
      </c>
      <c r="I284" s="24">
        <f>IF(OR(G284="",H284=""),"",G284/H284)</f>
        <v/>
      </c>
    </row>
    <row r="285">
      <c r="A285" s="19" t="n"/>
      <c r="C285" s="18">
        <f>IFERROR(VLOOKUP(B285,Alumnos!$A:$B,2,FALSE),"")</f>
        <v/>
      </c>
      <c r="I285" s="24">
        <f>IF(OR(G285="",H285=""),"",G285/H285)</f>
        <v/>
      </c>
    </row>
    <row r="286">
      <c r="A286" s="19" t="n"/>
      <c r="C286" s="18">
        <f>IFERROR(VLOOKUP(B286,Alumnos!$A:$B,2,FALSE),"")</f>
        <v/>
      </c>
      <c r="I286" s="24">
        <f>IF(OR(G286="",H286=""),"",G286/H286)</f>
        <v/>
      </c>
    </row>
    <row r="287">
      <c r="A287" s="19" t="n"/>
      <c r="C287" s="18">
        <f>IFERROR(VLOOKUP(B287,Alumnos!$A:$B,2,FALSE),"")</f>
        <v/>
      </c>
      <c r="I287" s="24">
        <f>IF(OR(G287="",H287=""),"",G287/H287)</f>
        <v/>
      </c>
    </row>
    <row r="288">
      <c r="A288" s="19" t="n"/>
      <c r="C288" s="18">
        <f>IFERROR(VLOOKUP(B288,Alumnos!$A:$B,2,FALSE),"")</f>
        <v/>
      </c>
      <c r="I288" s="24">
        <f>IF(OR(G288="",H288=""),"",G288/H288)</f>
        <v/>
      </c>
    </row>
    <row r="289">
      <c r="A289" s="19" t="n"/>
      <c r="C289" s="18">
        <f>IFERROR(VLOOKUP(B289,Alumnos!$A:$B,2,FALSE),"")</f>
        <v/>
      </c>
      <c r="I289" s="24">
        <f>IF(OR(G289="",H289=""),"",G289/H289)</f>
        <v/>
      </c>
    </row>
    <row r="290">
      <c r="A290" s="19" t="n"/>
      <c r="C290" s="18">
        <f>IFERROR(VLOOKUP(B290,Alumnos!$A:$B,2,FALSE),"")</f>
        <v/>
      </c>
      <c r="I290" s="24">
        <f>IF(OR(G290="",H290=""),"",G290/H290)</f>
        <v/>
      </c>
    </row>
    <row r="291">
      <c r="A291" s="19" t="n"/>
      <c r="C291" s="18">
        <f>IFERROR(VLOOKUP(B291,Alumnos!$A:$B,2,FALSE),"")</f>
        <v/>
      </c>
      <c r="I291" s="24">
        <f>IF(OR(G291="",H291=""),"",G291/H291)</f>
        <v/>
      </c>
    </row>
    <row r="292">
      <c r="A292" s="19" t="n"/>
      <c r="C292" s="18">
        <f>IFERROR(VLOOKUP(B292,Alumnos!$A:$B,2,FALSE),"")</f>
        <v/>
      </c>
      <c r="I292" s="24">
        <f>IF(OR(G292="",H292=""),"",G292/H292)</f>
        <v/>
      </c>
    </row>
    <row r="293">
      <c r="A293" s="19" t="n"/>
      <c r="C293" s="18">
        <f>IFERROR(VLOOKUP(B293,Alumnos!$A:$B,2,FALSE),"")</f>
        <v/>
      </c>
      <c r="I293" s="24">
        <f>IF(OR(G293="",H293=""),"",G293/H293)</f>
        <v/>
      </c>
    </row>
    <row r="294">
      <c r="A294" s="19" t="n"/>
      <c r="C294" s="18">
        <f>IFERROR(VLOOKUP(B294,Alumnos!$A:$B,2,FALSE),"")</f>
        <v/>
      </c>
      <c r="I294" s="24">
        <f>IF(OR(G294="",H294=""),"",G294/H294)</f>
        <v/>
      </c>
    </row>
    <row r="295">
      <c r="A295" s="19" t="n"/>
      <c r="C295" s="18">
        <f>IFERROR(VLOOKUP(B295,Alumnos!$A:$B,2,FALSE),"")</f>
        <v/>
      </c>
      <c r="I295" s="24">
        <f>IF(OR(G295="",H295=""),"",G295/H295)</f>
        <v/>
      </c>
    </row>
    <row r="296">
      <c r="A296" s="19" t="n"/>
      <c r="C296" s="18">
        <f>IFERROR(VLOOKUP(B296,Alumnos!$A:$B,2,FALSE),"")</f>
        <v/>
      </c>
      <c r="I296" s="24">
        <f>IF(OR(G296="",H296=""),"",G296/H296)</f>
        <v/>
      </c>
    </row>
    <row r="297">
      <c r="A297" s="19" t="n"/>
      <c r="C297" s="18">
        <f>IFERROR(VLOOKUP(B297,Alumnos!$A:$B,2,FALSE),"")</f>
        <v/>
      </c>
      <c r="I297" s="24">
        <f>IF(OR(G297="",H297=""),"",G297/H297)</f>
        <v/>
      </c>
    </row>
    <row r="298">
      <c r="A298" s="19" t="n"/>
      <c r="C298" s="18">
        <f>IFERROR(VLOOKUP(B298,Alumnos!$A:$B,2,FALSE),"")</f>
        <v/>
      </c>
      <c r="I298" s="24">
        <f>IF(OR(G298="",H298=""),"",G298/H298)</f>
        <v/>
      </c>
    </row>
    <row r="299">
      <c r="A299" s="19" t="n"/>
      <c r="C299" s="18">
        <f>IFERROR(VLOOKUP(B299,Alumnos!$A:$B,2,FALSE),"")</f>
        <v/>
      </c>
      <c r="I299" s="24">
        <f>IF(OR(G299="",H299=""),"",G299/H299)</f>
        <v/>
      </c>
    </row>
    <row r="300">
      <c r="A300" s="19" t="n"/>
      <c r="C300" s="18">
        <f>IFERROR(VLOOKUP(B300,Alumnos!$A:$B,2,FALSE),"")</f>
        <v/>
      </c>
      <c r="I300" s="24">
        <f>IF(OR(G300="",H300=""),"",G300/H300)</f>
        <v/>
      </c>
    </row>
    <row r="301">
      <c r="A301" s="19" t="n"/>
      <c r="C301" s="18">
        <f>IFERROR(VLOOKUP(B301,Alumnos!$A:$B,2,FALSE),"")</f>
        <v/>
      </c>
      <c r="I301" s="24">
        <f>IF(OR(G301="",H301=""),"",G301/H301)</f>
        <v/>
      </c>
    </row>
    <row r="302">
      <c r="A302" s="19" t="n"/>
      <c r="C302" s="18">
        <f>IFERROR(VLOOKUP(B302,Alumnos!$A:$B,2,FALSE),"")</f>
        <v/>
      </c>
      <c r="I302" s="24">
        <f>IF(OR(G302="",H302=""),"",G302/H302)</f>
        <v/>
      </c>
    </row>
    <row r="303">
      <c r="A303" s="19" t="n"/>
      <c r="C303" s="18">
        <f>IFERROR(VLOOKUP(B303,Alumnos!$A:$B,2,FALSE),"")</f>
        <v/>
      </c>
      <c r="I303" s="24">
        <f>IF(OR(G303="",H303=""),"",G303/H303)</f>
        <v/>
      </c>
    </row>
    <row r="304">
      <c r="A304" s="19" t="n"/>
      <c r="C304" s="18">
        <f>IFERROR(VLOOKUP(B304,Alumnos!$A:$B,2,FALSE),"")</f>
        <v/>
      </c>
      <c r="I304" s="24">
        <f>IF(OR(G304="",H304=""),"",G304/H304)</f>
        <v/>
      </c>
    </row>
    <row r="305">
      <c r="A305" s="19" t="n"/>
      <c r="C305" s="18">
        <f>IFERROR(VLOOKUP(B305,Alumnos!$A:$B,2,FALSE),"")</f>
        <v/>
      </c>
      <c r="I305" s="24">
        <f>IF(OR(G305="",H305=""),"",G305/H305)</f>
        <v/>
      </c>
    </row>
    <row r="306">
      <c r="A306" s="19" t="n"/>
      <c r="C306" s="18">
        <f>IFERROR(VLOOKUP(B306,Alumnos!$A:$B,2,FALSE),"")</f>
        <v/>
      </c>
      <c r="I306" s="24">
        <f>IF(OR(G306="",H306=""),"",G306/H306)</f>
        <v/>
      </c>
    </row>
    <row r="307">
      <c r="A307" s="19" t="n"/>
      <c r="C307" s="18">
        <f>IFERROR(VLOOKUP(B307,Alumnos!$A:$B,2,FALSE),"")</f>
        <v/>
      </c>
      <c r="I307" s="24">
        <f>IF(OR(G307="",H307=""),"",G307/H307)</f>
        <v/>
      </c>
    </row>
    <row r="308">
      <c r="A308" s="19" t="n"/>
      <c r="C308" s="18">
        <f>IFERROR(VLOOKUP(B308,Alumnos!$A:$B,2,FALSE),"")</f>
        <v/>
      </c>
      <c r="I308" s="24">
        <f>IF(OR(G308="",H308=""),"",G308/H308)</f>
        <v/>
      </c>
    </row>
    <row r="309">
      <c r="A309" s="19" t="n"/>
      <c r="C309" s="18">
        <f>IFERROR(VLOOKUP(B309,Alumnos!$A:$B,2,FALSE),"")</f>
        <v/>
      </c>
      <c r="I309" s="24">
        <f>IF(OR(G309="",H309=""),"",G309/H309)</f>
        <v/>
      </c>
    </row>
    <row r="310">
      <c r="A310" s="19" t="n"/>
      <c r="C310" s="18">
        <f>IFERROR(VLOOKUP(B310,Alumnos!$A:$B,2,FALSE),"")</f>
        <v/>
      </c>
      <c r="I310" s="24">
        <f>IF(OR(G310="",H310=""),"",G310/H310)</f>
        <v/>
      </c>
    </row>
    <row r="311">
      <c r="A311" s="19" t="n"/>
      <c r="C311" s="18">
        <f>IFERROR(VLOOKUP(B311,Alumnos!$A:$B,2,FALSE),"")</f>
        <v/>
      </c>
      <c r="I311" s="24">
        <f>IF(OR(G311="",H311=""),"",G311/H311)</f>
        <v/>
      </c>
    </row>
    <row r="312">
      <c r="A312" s="19" t="n"/>
      <c r="C312" s="18">
        <f>IFERROR(VLOOKUP(B312,Alumnos!$A:$B,2,FALSE),"")</f>
        <v/>
      </c>
      <c r="I312" s="24">
        <f>IF(OR(G312="",H312=""),"",G312/H312)</f>
        <v/>
      </c>
    </row>
    <row r="313">
      <c r="A313" s="19" t="n"/>
      <c r="C313" s="18">
        <f>IFERROR(VLOOKUP(B313,Alumnos!$A:$B,2,FALSE),"")</f>
        <v/>
      </c>
      <c r="I313" s="24">
        <f>IF(OR(G313="",H313=""),"",G313/H313)</f>
        <v/>
      </c>
    </row>
    <row r="314">
      <c r="A314" s="19" t="n"/>
      <c r="C314" s="18">
        <f>IFERROR(VLOOKUP(B314,Alumnos!$A:$B,2,FALSE),"")</f>
        <v/>
      </c>
      <c r="I314" s="24">
        <f>IF(OR(G314="",H314=""),"",G314/H314)</f>
        <v/>
      </c>
    </row>
    <row r="315">
      <c r="A315" s="19" t="n"/>
      <c r="C315" s="18">
        <f>IFERROR(VLOOKUP(B315,Alumnos!$A:$B,2,FALSE),"")</f>
        <v/>
      </c>
      <c r="I315" s="24">
        <f>IF(OR(G315="",H315=""),"",G315/H315)</f>
        <v/>
      </c>
    </row>
    <row r="316">
      <c r="A316" s="19" t="n"/>
      <c r="C316" s="18">
        <f>IFERROR(VLOOKUP(B316,Alumnos!$A:$B,2,FALSE),"")</f>
        <v/>
      </c>
      <c r="I316" s="24">
        <f>IF(OR(G316="",H316=""),"",G316/H316)</f>
        <v/>
      </c>
    </row>
    <row r="317">
      <c r="A317" s="19" t="n"/>
      <c r="C317" s="18">
        <f>IFERROR(VLOOKUP(B317,Alumnos!$A:$B,2,FALSE),"")</f>
        <v/>
      </c>
      <c r="I317" s="24">
        <f>IF(OR(G317="",H317=""),"",G317/H317)</f>
        <v/>
      </c>
    </row>
    <row r="318">
      <c r="A318" s="19" t="n"/>
      <c r="C318" s="18">
        <f>IFERROR(VLOOKUP(B318,Alumnos!$A:$B,2,FALSE),"")</f>
        <v/>
      </c>
      <c r="I318" s="24">
        <f>IF(OR(G318="",H318=""),"",G318/H318)</f>
        <v/>
      </c>
    </row>
    <row r="319">
      <c r="A319" s="19" t="n"/>
      <c r="C319" s="18">
        <f>IFERROR(VLOOKUP(B319,Alumnos!$A:$B,2,FALSE),"")</f>
        <v/>
      </c>
      <c r="I319" s="24">
        <f>IF(OR(G319="",H319=""),"",G319/H319)</f>
        <v/>
      </c>
    </row>
    <row r="320">
      <c r="A320" s="19" t="n"/>
      <c r="C320" s="18">
        <f>IFERROR(VLOOKUP(B320,Alumnos!$A:$B,2,FALSE),"")</f>
        <v/>
      </c>
      <c r="I320" s="24">
        <f>IF(OR(G320="",H320=""),"",G320/H320)</f>
        <v/>
      </c>
    </row>
    <row r="321">
      <c r="A321" s="19" t="n"/>
      <c r="C321" s="18">
        <f>IFERROR(VLOOKUP(B321,Alumnos!$A:$B,2,FALSE),"")</f>
        <v/>
      </c>
      <c r="I321" s="24">
        <f>IF(OR(G321="",H321=""),"",G321/H321)</f>
        <v/>
      </c>
    </row>
    <row r="322">
      <c r="A322" s="19" t="n"/>
      <c r="C322" s="18">
        <f>IFERROR(VLOOKUP(B322,Alumnos!$A:$B,2,FALSE),"")</f>
        <v/>
      </c>
      <c r="I322" s="24">
        <f>IF(OR(G322="",H322=""),"",G322/H322)</f>
        <v/>
      </c>
    </row>
    <row r="323">
      <c r="A323" s="19" t="n"/>
      <c r="C323" s="18">
        <f>IFERROR(VLOOKUP(B323,Alumnos!$A:$B,2,FALSE),"")</f>
        <v/>
      </c>
      <c r="I323" s="24">
        <f>IF(OR(G323="",H323=""),"",G323/H323)</f>
        <v/>
      </c>
    </row>
    <row r="324">
      <c r="A324" s="19" t="n"/>
      <c r="C324" s="18">
        <f>IFERROR(VLOOKUP(B324,Alumnos!$A:$B,2,FALSE),"")</f>
        <v/>
      </c>
      <c r="I324" s="24">
        <f>IF(OR(G324="",H324=""),"",G324/H324)</f>
        <v/>
      </c>
    </row>
    <row r="325">
      <c r="A325" s="19" t="n"/>
      <c r="C325" s="18">
        <f>IFERROR(VLOOKUP(B325,Alumnos!$A:$B,2,FALSE),"")</f>
        <v/>
      </c>
      <c r="I325" s="24">
        <f>IF(OR(G325="",H325=""),"",G325/H325)</f>
        <v/>
      </c>
    </row>
    <row r="326">
      <c r="A326" s="19" t="n"/>
      <c r="C326" s="18">
        <f>IFERROR(VLOOKUP(B326,Alumnos!$A:$B,2,FALSE),"")</f>
        <v/>
      </c>
      <c r="I326" s="24">
        <f>IF(OR(G326="",H326=""),"",G326/H326)</f>
        <v/>
      </c>
    </row>
    <row r="327">
      <c r="A327" s="19" t="n"/>
      <c r="C327" s="18">
        <f>IFERROR(VLOOKUP(B327,Alumnos!$A:$B,2,FALSE),"")</f>
        <v/>
      </c>
      <c r="I327" s="24">
        <f>IF(OR(G327="",H327=""),"",G327/H327)</f>
        <v/>
      </c>
    </row>
    <row r="328">
      <c r="A328" s="19" t="n"/>
      <c r="C328" s="18">
        <f>IFERROR(VLOOKUP(B328,Alumnos!$A:$B,2,FALSE),"")</f>
        <v/>
      </c>
      <c r="I328" s="24">
        <f>IF(OR(G328="",H328=""),"",G328/H328)</f>
        <v/>
      </c>
    </row>
    <row r="329">
      <c r="A329" s="19" t="n"/>
      <c r="C329" s="18">
        <f>IFERROR(VLOOKUP(B329,Alumnos!$A:$B,2,FALSE),"")</f>
        <v/>
      </c>
      <c r="I329" s="24">
        <f>IF(OR(G329="",H329=""),"",G329/H329)</f>
        <v/>
      </c>
    </row>
    <row r="330">
      <c r="A330" s="19" t="n"/>
      <c r="C330" s="18">
        <f>IFERROR(VLOOKUP(B330,Alumnos!$A:$B,2,FALSE),"")</f>
        <v/>
      </c>
      <c r="I330" s="24">
        <f>IF(OR(G330="",H330=""),"",G330/H330)</f>
        <v/>
      </c>
    </row>
    <row r="331">
      <c r="A331" s="19" t="n"/>
      <c r="C331" s="18">
        <f>IFERROR(VLOOKUP(B331,Alumnos!$A:$B,2,FALSE),"")</f>
        <v/>
      </c>
      <c r="I331" s="24">
        <f>IF(OR(G331="",H331=""),"",G331/H331)</f>
        <v/>
      </c>
    </row>
    <row r="332">
      <c r="A332" s="19" t="n"/>
      <c r="C332" s="18">
        <f>IFERROR(VLOOKUP(B332,Alumnos!$A:$B,2,FALSE),"")</f>
        <v/>
      </c>
      <c r="I332" s="24">
        <f>IF(OR(G332="",H332=""),"",G332/H332)</f>
        <v/>
      </c>
    </row>
    <row r="333">
      <c r="A333" s="19" t="n"/>
      <c r="C333" s="18">
        <f>IFERROR(VLOOKUP(B333,Alumnos!$A:$B,2,FALSE),"")</f>
        <v/>
      </c>
      <c r="I333" s="24">
        <f>IF(OR(G333="",H333=""),"",G333/H333)</f>
        <v/>
      </c>
    </row>
    <row r="334">
      <c r="A334" s="19" t="n"/>
      <c r="C334" s="18">
        <f>IFERROR(VLOOKUP(B334,Alumnos!$A:$B,2,FALSE),"")</f>
        <v/>
      </c>
      <c r="I334" s="24">
        <f>IF(OR(G334="",H334=""),"",G334/H334)</f>
        <v/>
      </c>
    </row>
    <row r="335">
      <c r="A335" s="19" t="n"/>
      <c r="C335" s="18">
        <f>IFERROR(VLOOKUP(B335,Alumnos!$A:$B,2,FALSE),"")</f>
        <v/>
      </c>
      <c r="I335" s="24">
        <f>IF(OR(G335="",H335=""),"",G335/H335)</f>
        <v/>
      </c>
    </row>
    <row r="336">
      <c r="A336" s="19" t="n"/>
      <c r="C336" s="18">
        <f>IFERROR(VLOOKUP(B336,Alumnos!$A:$B,2,FALSE),"")</f>
        <v/>
      </c>
      <c r="I336" s="24">
        <f>IF(OR(G336="",H336=""),"",G336/H336)</f>
        <v/>
      </c>
    </row>
    <row r="337">
      <c r="A337" s="19" t="n"/>
      <c r="C337" s="18">
        <f>IFERROR(VLOOKUP(B337,Alumnos!$A:$B,2,FALSE),"")</f>
        <v/>
      </c>
      <c r="I337" s="24">
        <f>IF(OR(G337="",H337=""),"",G337/H337)</f>
        <v/>
      </c>
    </row>
    <row r="338">
      <c r="A338" s="19" t="n"/>
      <c r="C338" s="18">
        <f>IFERROR(VLOOKUP(B338,Alumnos!$A:$B,2,FALSE),"")</f>
        <v/>
      </c>
      <c r="I338" s="24">
        <f>IF(OR(G338="",H338=""),"",G338/H338)</f>
        <v/>
      </c>
    </row>
    <row r="339">
      <c r="A339" s="19" t="n"/>
      <c r="C339" s="18">
        <f>IFERROR(VLOOKUP(B339,Alumnos!$A:$B,2,FALSE),"")</f>
        <v/>
      </c>
      <c r="I339" s="24">
        <f>IF(OR(G339="",H339=""),"",G339/H339)</f>
        <v/>
      </c>
    </row>
    <row r="340">
      <c r="A340" s="19" t="n"/>
      <c r="C340" s="18">
        <f>IFERROR(VLOOKUP(B340,Alumnos!$A:$B,2,FALSE),"")</f>
        <v/>
      </c>
      <c r="I340" s="24">
        <f>IF(OR(G340="",H340=""),"",G340/H340)</f>
        <v/>
      </c>
    </row>
    <row r="341">
      <c r="A341" s="19" t="n"/>
      <c r="C341" s="18">
        <f>IFERROR(VLOOKUP(B341,Alumnos!$A:$B,2,FALSE),"")</f>
        <v/>
      </c>
      <c r="I341" s="24">
        <f>IF(OR(G341="",H341=""),"",G341/H341)</f>
        <v/>
      </c>
    </row>
    <row r="342">
      <c r="A342" s="19" t="n"/>
      <c r="C342" s="18">
        <f>IFERROR(VLOOKUP(B342,Alumnos!$A:$B,2,FALSE),"")</f>
        <v/>
      </c>
      <c r="I342" s="24">
        <f>IF(OR(G342="",H342=""),"",G342/H342)</f>
        <v/>
      </c>
    </row>
    <row r="343">
      <c r="A343" s="19" t="n"/>
      <c r="C343" s="18">
        <f>IFERROR(VLOOKUP(B343,Alumnos!$A:$B,2,FALSE),"")</f>
        <v/>
      </c>
      <c r="I343" s="24">
        <f>IF(OR(G343="",H343=""),"",G343/H343)</f>
        <v/>
      </c>
    </row>
    <row r="344">
      <c r="A344" s="19" t="n"/>
      <c r="C344" s="18">
        <f>IFERROR(VLOOKUP(B344,Alumnos!$A:$B,2,FALSE),"")</f>
        <v/>
      </c>
      <c r="I344" s="24">
        <f>IF(OR(G344="",H344=""),"",G344/H344)</f>
        <v/>
      </c>
    </row>
    <row r="345">
      <c r="A345" s="19" t="n"/>
      <c r="C345" s="18">
        <f>IFERROR(VLOOKUP(B345,Alumnos!$A:$B,2,FALSE),"")</f>
        <v/>
      </c>
      <c r="I345" s="24">
        <f>IF(OR(G345="",H345=""),"",G345/H345)</f>
        <v/>
      </c>
    </row>
    <row r="346">
      <c r="A346" s="19" t="n"/>
      <c r="C346" s="18">
        <f>IFERROR(VLOOKUP(B346,Alumnos!$A:$B,2,FALSE),"")</f>
        <v/>
      </c>
      <c r="I346" s="24">
        <f>IF(OR(G346="",H346=""),"",G346/H346)</f>
        <v/>
      </c>
    </row>
    <row r="347">
      <c r="A347" s="19" t="n"/>
      <c r="C347" s="18">
        <f>IFERROR(VLOOKUP(B347,Alumnos!$A:$B,2,FALSE),"")</f>
        <v/>
      </c>
      <c r="I347" s="24">
        <f>IF(OR(G347="",H347=""),"",G347/H347)</f>
        <v/>
      </c>
    </row>
    <row r="348">
      <c r="A348" s="19" t="n"/>
      <c r="C348" s="18">
        <f>IFERROR(VLOOKUP(B348,Alumnos!$A:$B,2,FALSE),"")</f>
        <v/>
      </c>
      <c r="I348" s="24">
        <f>IF(OR(G348="",H348=""),"",G348/H348)</f>
        <v/>
      </c>
    </row>
    <row r="349">
      <c r="A349" s="19" t="n"/>
      <c r="C349" s="18">
        <f>IFERROR(VLOOKUP(B349,Alumnos!$A:$B,2,FALSE),"")</f>
        <v/>
      </c>
      <c r="I349" s="24">
        <f>IF(OR(G349="",H349=""),"",G349/H349)</f>
        <v/>
      </c>
    </row>
    <row r="350">
      <c r="A350" s="19" t="n"/>
      <c r="C350" s="18">
        <f>IFERROR(VLOOKUP(B350,Alumnos!$A:$B,2,FALSE),"")</f>
        <v/>
      </c>
      <c r="I350" s="24">
        <f>IF(OR(G350="",H350=""),"",G350/H350)</f>
        <v/>
      </c>
    </row>
    <row r="351">
      <c r="A351" s="19" t="n"/>
      <c r="C351" s="18">
        <f>IFERROR(VLOOKUP(B351,Alumnos!$A:$B,2,FALSE),"")</f>
        <v/>
      </c>
      <c r="I351" s="24">
        <f>IF(OR(G351="",H351=""),"",G351/H351)</f>
        <v/>
      </c>
    </row>
    <row r="352">
      <c r="A352" s="19" t="n"/>
      <c r="C352" s="18">
        <f>IFERROR(VLOOKUP(B352,Alumnos!$A:$B,2,FALSE),"")</f>
        <v/>
      </c>
      <c r="I352" s="24">
        <f>IF(OR(G352="",H352=""),"",G352/H352)</f>
        <v/>
      </c>
    </row>
    <row r="353">
      <c r="A353" s="19" t="n"/>
      <c r="C353" s="18">
        <f>IFERROR(VLOOKUP(B353,Alumnos!$A:$B,2,FALSE),"")</f>
        <v/>
      </c>
      <c r="I353" s="24">
        <f>IF(OR(G353="",H353=""),"",G353/H353)</f>
        <v/>
      </c>
    </row>
    <row r="354">
      <c r="A354" s="19" t="n"/>
      <c r="C354" s="18">
        <f>IFERROR(VLOOKUP(B354,Alumnos!$A:$B,2,FALSE),"")</f>
        <v/>
      </c>
      <c r="I354" s="24">
        <f>IF(OR(G354="",H354=""),"",G354/H354)</f>
        <v/>
      </c>
    </row>
    <row r="355">
      <c r="A355" s="19" t="n"/>
      <c r="C355" s="18">
        <f>IFERROR(VLOOKUP(B355,Alumnos!$A:$B,2,FALSE),"")</f>
        <v/>
      </c>
      <c r="I355" s="24">
        <f>IF(OR(G355="",H355=""),"",G355/H355)</f>
        <v/>
      </c>
    </row>
    <row r="356">
      <c r="A356" s="19" t="n"/>
      <c r="C356" s="18">
        <f>IFERROR(VLOOKUP(B356,Alumnos!$A:$B,2,FALSE),"")</f>
        <v/>
      </c>
      <c r="I356" s="24">
        <f>IF(OR(G356="",H356=""),"",G356/H356)</f>
        <v/>
      </c>
    </row>
    <row r="357">
      <c r="A357" s="19" t="n"/>
      <c r="C357" s="18">
        <f>IFERROR(VLOOKUP(B357,Alumnos!$A:$B,2,FALSE),"")</f>
        <v/>
      </c>
      <c r="I357" s="24">
        <f>IF(OR(G357="",H357=""),"",G357/H357)</f>
        <v/>
      </c>
    </row>
    <row r="358">
      <c r="A358" s="19" t="n"/>
      <c r="C358" s="18">
        <f>IFERROR(VLOOKUP(B358,Alumnos!$A:$B,2,FALSE),"")</f>
        <v/>
      </c>
      <c r="I358" s="24">
        <f>IF(OR(G358="",H358=""),"",G358/H358)</f>
        <v/>
      </c>
    </row>
    <row r="359">
      <c r="A359" s="19" t="n"/>
      <c r="C359" s="18">
        <f>IFERROR(VLOOKUP(B359,Alumnos!$A:$B,2,FALSE),"")</f>
        <v/>
      </c>
      <c r="I359" s="24">
        <f>IF(OR(G359="",H359=""),"",G359/H359)</f>
        <v/>
      </c>
    </row>
    <row r="360">
      <c r="A360" s="19" t="n"/>
      <c r="C360" s="18">
        <f>IFERROR(VLOOKUP(B360,Alumnos!$A:$B,2,FALSE),"")</f>
        <v/>
      </c>
      <c r="I360" s="24">
        <f>IF(OR(G360="",H360=""),"",G360/H360)</f>
        <v/>
      </c>
    </row>
    <row r="361">
      <c r="A361" s="19" t="n"/>
      <c r="C361" s="18">
        <f>IFERROR(VLOOKUP(B361,Alumnos!$A:$B,2,FALSE),"")</f>
        <v/>
      </c>
      <c r="I361" s="24">
        <f>IF(OR(G361="",H361=""),"",G361/H361)</f>
        <v/>
      </c>
    </row>
    <row r="362">
      <c r="A362" s="19" t="n"/>
      <c r="C362" s="18">
        <f>IFERROR(VLOOKUP(B362,Alumnos!$A:$B,2,FALSE),"")</f>
        <v/>
      </c>
      <c r="I362" s="24">
        <f>IF(OR(G362="",H362=""),"",G362/H362)</f>
        <v/>
      </c>
    </row>
    <row r="363">
      <c r="A363" s="19" t="n"/>
      <c r="C363" s="18">
        <f>IFERROR(VLOOKUP(B363,Alumnos!$A:$B,2,FALSE),"")</f>
        <v/>
      </c>
      <c r="I363" s="24">
        <f>IF(OR(G363="",H363=""),"",G363/H363)</f>
        <v/>
      </c>
    </row>
    <row r="364">
      <c r="A364" s="19" t="n"/>
      <c r="C364" s="18">
        <f>IFERROR(VLOOKUP(B364,Alumnos!$A:$B,2,FALSE),"")</f>
        <v/>
      </c>
      <c r="I364" s="24">
        <f>IF(OR(G364="",H364=""),"",G364/H364)</f>
        <v/>
      </c>
    </row>
    <row r="365">
      <c r="A365" s="19" t="n"/>
      <c r="C365" s="18">
        <f>IFERROR(VLOOKUP(B365,Alumnos!$A:$B,2,FALSE),"")</f>
        <v/>
      </c>
      <c r="I365" s="24">
        <f>IF(OR(G365="",H365=""),"",G365/H365)</f>
        <v/>
      </c>
    </row>
    <row r="366">
      <c r="A366" s="19" t="n"/>
      <c r="C366" s="18">
        <f>IFERROR(VLOOKUP(B366,Alumnos!$A:$B,2,FALSE),"")</f>
        <v/>
      </c>
      <c r="I366" s="24">
        <f>IF(OR(G366="",H366=""),"",G366/H366)</f>
        <v/>
      </c>
    </row>
    <row r="367">
      <c r="A367" s="19" t="n"/>
      <c r="C367" s="18">
        <f>IFERROR(VLOOKUP(B367,Alumnos!$A:$B,2,FALSE),"")</f>
        <v/>
      </c>
      <c r="I367" s="24">
        <f>IF(OR(G367="",H367=""),"",G367/H367)</f>
        <v/>
      </c>
    </row>
    <row r="368">
      <c r="A368" s="19" t="n"/>
      <c r="C368" s="18">
        <f>IFERROR(VLOOKUP(B368,Alumnos!$A:$B,2,FALSE),"")</f>
        <v/>
      </c>
      <c r="I368" s="24">
        <f>IF(OR(G368="",H368=""),"",G368/H368)</f>
        <v/>
      </c>
    </row>
    <row r="369">
      <c r="A369" s="19" t="n"/>
      <c r="C369" s="18">
        <f>IFERROR(VLOOKUP(B369,Alumnos!$A:$B,2,FALSE),"")</f>
        <v/>
      </c>
      <c r="I369" s="24">
        <f>IF(OR(G369="",H369=""),"",G369/H369)</f>
        <v/>
      </c>
    </row>
    <row r="370">
      <c r="A370" s="19" t="n"/>
      <c r="C370" s="18">
        <f>IFERROR(VLOOKUP(B370,Alumnos!$A:$B,2,FALSE),"")</f>
        <v/>
      </c>
      <c r="I370" s="24">
        <f>IF(OR(G370="",H370=""),"",G370/H370)</f>
        <v/>
      </c>
    </row>
    <row r="371">
      <c r="A371" s="19" t="n"/>
      <c r="C371" s="18">
        <f>IFERROR(VLOOKUP(B371,Alumnos!$A:$B,2,FALSE),"")</f>
        <v/>
      </c>
      <c r="I371" s="24">
        <f>IF(OR(G371="",H371=""),"",G371/H371)</f>
        <v/>
      </c>
    </row>
    <row r="372">
      <c r="A372" s="19" t="n"/>
      <c r="C372" s="18">
        <f>IFERROR(VLOOKUP(B372,Alumnos!$A:$B,2,FALSE),"")</f>
        <v/>
      </c>
      <c r="I372" s="24">
        <f>IF(OR(G372="",H372=""),"",G372/H372)</f>
        <v/>
      </c>
    </row>
    <row r="373">
      <c r="A373" s="19" t="n"/>
      <c r="C373" s="18">
        <f>IFERROR(VLOOKUP(B373,Alumnos!$A:$B,2,FALSE),"")</f>
        <v/>
      </c>
      <c r="I373" s="24">
        <f>IF(OR(G373="",H373=""),"",G373/H373)</f>
        <v/>
      </c>
    </row>
    <row r="374">
      <c r="A374" s="19" t="n"/>
      <c r="C374" s="18">
        <f>IFERROR(VLOOKUP(B374,Alumnos!$A:$B,2,FALSE),"")</f>
        <v/>
      </c>
      <c r="I374" s="24">
        <f>IF(OR(G374="",H374=""),"",G374/H374)</f>
        <v/>
      </c>
    </row>
    <row r="375">
      <c r="A375" s="19" t="n"/>
      <c r="C375" s="18">
        <f>IFERROR(VLOOKUP(B375,Alumnos!$A:$B,2,FALSE),"")</f>
        <v/>
      </c>
      <c r="I375" s="24">
        <f>IF(OR(G375="",H375=""),"",G375/H375)</f>
        <v/>
      </c>
    </row>
    <row r="376">
      <c r="A376" s="19" t="n"/>
      <c r="C376" s="18">
        <f>IFERROR(VLOOKUP(B376,Alumnos!$A:$B,2,FALSE),"")</f>
        <v/>
      </c>
      <c r="I376" s="24">
        <f>IF(OR(G376="",H376=""),"",G376/H376)</f>
        <v/>
      </c>
    </row>
    <row r="377">
      <c r="A377" s="19" t="n"/>
      <c r="C377" s="18">
        <f>IFERROR(VLOOKUP(B377,Alumnos!$A:$B,2,FALSE),"")</f>
        <v/>
      </c>
      <c r="I377" s="24">
        <f>IF(OR(G377="",H377=""),"",G377/H377)</f>
        <v/>
      </c>
    </row>
    <row r="378">
      <c r="A378" s="19" t="n"/>
      <c r="C378" s="18">
        <f>IFERROR(VLOOKUP(B378,Alumnos!$A:$B,2,FALSE),"")</f>
        <v/>
      </c>
      <c r="I378" s="24">
        <f>IF(OR(G378="",H378=""),"",G378/H378)</f>
        <v/>
      </c>
    </row>
    <row r="379">
      <c r="A379" s="19" t="n"/>
      <c r="C379" s="18">
        <f>IFERROR(VLOOKUP(B379,Alumnos!$A:$B,2,FALSE),"")</f>
        <v/>
      </c>
      <c r="I379" s="24">
        <f>IF(OR(G379="",H379=""),"",G379/H379)</f>
        <v/>
      </c>
    </row>
    <row r="380">
      <c r="A380" s="19" t="n"/>
      <c r="C380" s="18">
        <f>IFERROR(VLOOKUP(B380,Alumnos!$A:$B,2,FALSE),"")</f>
        <v/>
      </c>
      <c r="I380" s="24">
        <f>IF(OR(G380="",H380=""),"",G380/H380)</f>
        <v/>
      </c>
    </row>
    <row r="381">
      <c r="A381" s="19" t="n"/>
      <c r="C381" s="18">
        <f>IFERROR(VLOOKUP(B381,Alumnos!$A:$B,2,FALSE),"")</f>
        <v/>
      </c>
      <c r="I381" s="24">
        <f>IF(OR(G381="",H381=""),"",G381/H381)</f>
        <v/>
      </c>
    </row>
    <row r="382">
      <c r="A382" s="19" t="n"/>
      <c r="C382" s="18">
        <f>IFERROR(VLOOKUP(B382,Alumnos!$A:$B,2,FALSE),"")</f>
        <v/>
      </c>
      <c r="I382" s="24">
        <f>IF(OR(G382="",H382=""),"",G382/H382)</f>
        <v/>
      </c>
    </row>
    <row r="383">
      <c r="A383" s="19" t="n"/>
      <c r="C383" s="18">
        <f>IFERROR(VLOOKUP(B383,Alumnos!$A:$B,2,FALSE),"")</f>
        <v/>
      </c>
      <c r="I383" s="24">
        <f>IF(OR(G383="",H383=""),"",G383/H383)</f>
        <v/>
      </c>
    </row>
    <row r="384">
      <c r="A384" s="19" t="n"/>
      <c r="C384" s="18">
        <f>IFERROR(VLOOKUP(B384,Alumnos!$A:$B,2,FALSE),"")</f>
        <v/>
      </c>
      <c r="I384" s="24">
        <f>IF(OR(G384="",H384=""),"",G384/H384)</f>
        <v/>
      </c>
    </row>
    <row r="385">
      <c r="A385" s="19" t="n"/>
      <c r="C385" s="18">
        <f>IFERROR(VLOOKUP(B385,Alumnos!$A:$B,2,FALSE),"")</f>
        <v/>
      </c>
      <c r="I385" s="24">
        <f>IF(OR(G385="",H385=""),"",G385/H385)</f>
        <v/>
      </c>
    </row>
    <row r="386">
      <c r="A386" s="19" t="n"/>
      <c r="C386" s="18">
        <f>IFERROR(VLOOKUP(B386,Alumnos!$A:$B,2,FALSE),"")</f>
        <v/>
      </c>
      <c r="I386" s="24">
        <f>IF(OR(G386="",H386=""),"",G386/H386)</f>
        <v/>
      </c>
    </row>
    <row r="387">
      <c r="A387" s="19" t="n"/>
      <c r="C387" s="18">
        <f>IFERROR(VLOOKUP(B387,Alumnos!$A:$B,2,FALSE),"")</f>
        <v/>
      </c>
      <c r="I387" s="24">
        <f>IF(OR(G387="",H387=""),"",G387/H387)</f>
        <v/>
      </c>
    </row>
    <row r="388">
      <c r="A388" s="19" t="n"/>
      <c r="C388" s="18">
        <f>IFERROR(VLOOKUP(B388,Alumnos!$A:$B,2,FALSE),"")</f>
        <v/>
      </c>
      <c r="I388" s="24">
        <f>IF(OR(G388="",H388=""),"",G388/H388)</f>
        <v/>
      </c>
    </row>
    <row r="389">
      <c r="A389" s="19" t="n"/>
      <c r="C389" s="18">
        <f>IFERROR(VLOOKUP(B389,Alumnos!$A:$B,2,FALSE),"")</f>
        <v/>
      </c>
      <c r="I389" s="24">
        <f>IF(OR(G389="",H389=""),"",G389/H389)</f>
        <v/>
      </c>
    </row>
    <row r="390">
      <c r="A390" s="19" t="n"/>
      <c r="C390" s="18">
        <f>IFERROR(VLOOKUP(B390,Alumnos!$A:$B,2,FALSE),"")</f>
        <v/>
      </c>
      <c r="I390" s="24">
        <f>IF(OR(G390="",H390=""),"",G390/H390)</f>
        <v/>
      </c>
    </row>
    <row r="391">
      <c r="A391" s="19" t="n"/>
      <c r="C391" s="18">
        <f>IFERROR(VLOOKUP(B391,Alumnos!$A:$B,2,FALSE),"")</f>
        <v/>
      </c>
      <c r="I391" s="24">
        <f>IF(OR(G391="",H391=""),"",G391/H391)</f>
        <v/>
      </c>
    </row>
    <row r="392">
      <c r="A392" s="19" t="n"/>
      <c r="C392" s="18">
        <f>IFERROR(VLOOKUP(B392,Alumnos!$A:$B,2,FALSE),"")</f>
        <v/>
      </c>
      <c r="I392" s="24">
        <f>IF(OR(G392="",H392=""),"",G392/H392)</f>
        <v/>
      </c>
    </row>
    <row r="393">
      <c r="A393" s="19" t="n"/>
      <c r="C393" s="18">
        <f>IFERROR(VLOOKUP(B393,Alumnos!$A:$B,2,FALSE),"")</f>
        <v/>
      </c>
      <c r="I393" s="24">
        <f>IF(OR(G393="",H393=""),"",G393/H393)</f>
        <v/>
      </c>
    </row>
    <row r="394">
      <c r="A394" s="19" t="n"/>
      <c r="C394" s="18">
        <f>IFERROR(VLOOKUP(B394,Alumnos!$A:$B,2,FALSE),"")</f>
        <v/>
      </c>
      <c r="I394" s="24">
        <f>IF(OR(G394="",H394=""),"",G394/H394)</f>
        <v/>
      </c>
    </row>
    <row r="395">
      <c r="A395" s="19" t="n"/>
      <c r="C395" s="18">
        <f>IFERROR(VLOOKUP(B395,Alumnos!$A:$B,2,FALSE),"")</f>
        <v/>
      </c>
      <c r="I395" s="24">
        <f>IF(OR(G395="",H395=""),"",G395/H395)</f>
        <v/>
      </c>
    </row>
    <row r="396">
      <c r="A396" s="19" t="n"/>
      <c r="C396" s="18">
        <f>IFERROR(VLOOKUP(B396,Alumnos!$A:$B,2,FALSE),"")</f>
        <v/>
      </c>
      <c r="I396" s="24">
        <f>IF(OR(G396="",H396=""),"",G396/H396)</f>
        <v/>
      </c>
    </row>
    <row r="397">
      <c r="A397" s="19" t="n"/>
      <c r="C397" s="18">
        <f>IFERROR(VLOOKUP(B397,Alumnos!$A:$B,2,FALSE),"")</f>
        <v/>
      </c>
      <c r="I397" s="24">
        <f>IF(OR(G397="",H397=""),"",G397/H397)</f>
        <v/>
      </c>
    </row>
    <row r="398">
      <c r="A398" s="19" t="n"/>
      <c r="C398" s="18">
        <f>IFERROR(VLOOKUP(B398,Alumnos!$A:$B,2,FALSE),"")</f>
        <v/>
      </c>
      <c r="I398" s="24">
        <f>IF(OR(G398="",H398=""),"",G398/H398)</f>
        <v/>
      </c>
    </row>
    <row r="399">
      <c r="A399" s="19" t="n"/>
      <c r="C399" s="18">
        <f>IFERROR(VLOOKUP(B399,Alumnos!$A:$B,2,FALSE),"")</f>
        <v/>
      </c>
      <c r="I399" s="24">
        <f>IF(OR(G399="",H399=""),"",G399/H399)</f>
        <v/>
      </c>
    </row>
    <row r="400">
      <c r="A400" s="19" t="n"/>
      <c r="C400" s="18">
        <f>IFERROR(VLOOKUP(B400,Alumnos!$A:$B,2,FALSE),"")</f>
        <v/>
      </c>
      <c r="I400" s="24">
        <f>IF(OR(G400="",H400=""),"",G400/H400)</f>
        <v/>
      </c>
    </row>
    <row r="401">
      <c r="A401" s="19" t="n"/>
      <c r="C401" s="18">
        <f>IFERROR(VLOOKUP(B401,Alumnos!$A:$B,2,FALSE),"")</f>
        <v/>
      </c>
      <c r="I401" s="24">
        <f>IF(OR(G401="",H401=""),"",G401/H401)</f>
        <v/>
      </c>
    </row>
    <row r="402">
      <c r="A402" s="19" t="n"/>
      <c r="C402" s="18">
        <f>IFERROR(VLOOKUP(B402,Alumnos!$A:$B,2,FALSE),"")</f>
        <v/>
      </c>
      <c r="I402" s="24">
        <f>IF(OR(G402="",H402=""),"",G402/H402)</f>
        <v/>
      </c>
    </row>
    <row r="403">
      <c r="A403" s="19" t="n"/>
      <c r="C403" s="18">
        <f>IFERROR(VLOOKUP(B403,Alumnos!$A:$B,2,FALSE),"")</f>
        <v/>
      </c>
      <c r="I403" s="24">
        <f>IF(OR(G403="",H403=""),"",G403/H403)</f>
        <v/>
      </c>
    </row>
    <row r="404">
      <c r="A404" s="19" t="n"/>
      <c r="C404" s="18">
        <f>IFERROR(VLOOKUP(B404,Alumnos!$A:$B,2,FALSE),"")</f>
        <v/>
      </c>
      <c r="I404" s="24">
        <f>IF(OR(G404="",H404=""),"",G404/H404)</f>
        <v/>
      </c>
    </row>
    <row r="405">
      <c r="A405" s="19" t="n"/>
      <c r="C405" s="18">
        <f>IFERROR(VLOOKUP(B405,Alumnos!$A:$B,2,FALSE),"")</f>
        <v/>
      </c>
      <c r="I405" s="24">
        <f>IF(OR(G405="",H405=""),"",G405/H405)</f>
        <v/>
      </c>
    </row>
    <row r="406">
      <c r="A406" s="19" t="n"/>
      <c r="C406" s="18">
        <f>IFERROR(VLOOKUP(B406,Alumnos!$A:$B,2,FALSE),"")</f>
        <v/>
      </c>
      <c r="I406" s="24">
        <f>IF(OR(G406="",H406=""),"",G406/H406)</f>
        <v/>
      </c>
    </row>
    <row r="407">
      <c r="A407" s="19" t="n"/>
      <c r="C407" s="18">
        <f>IFERROR(VLOOKUP(B407,Alumnos!$A:$B,2,FALSE),"")</f>
        <v/>
      </c>
      <c r="I407" s="24">
        <f>IF(OR(G407="",H407=""),"",G407/H407)</f>
        <v/>
      </c>
    </row>
    <row r="408">
      <c r="A408" s="19" t="n"/>
      <c r="C408" s="18">
        <f>IFERROR(VLOOKUP(B408,Alumnos!$A:$B,2,FALSE),"")</f>
        <v/>
      </c>
      <c r="I408" s="24">
        <f>IF(OR(G408="",H408=""),"",G408/H408)</f>
        <v/>
      </c>
    </row>
    <row r="409">
      <c r="A409" s="19" t="n"/>
      <c r="C409" s="18">
        <f>IFERROR(VLOOKUP(B409,Alumnos!$A:$B,2,FALSE),"")</f>
        <v/>
      </c>
      <c r="I409" s="24">
        <f>IF(OR(G409="",H409=""),"",G409/H409)</f>
        <v/>
      </c>
    </row>
    <row r="410">
      <c r="A410" s="19" t="n"/>
      <c r="C410" s="18">
        <f>IFERROR(VLOOKUP(B410,Alumnos!$A:$B,2,FALSE),"")</f>
        <v/>
      </c>
      <c r="I410" s="24">
        <f>IF(OR(G410="",H410=""),"",G410/H410)</f>
        <v/>
      </c>
    </row>
    <row r="411">
      <c r="A411" s="19" t="n"/>
      <c r="C411" s="18">
        <f>IFERROR(VLOOKUP(B411,Alumnos!$A:$B,2,FALSE),"")</f>
        <v/>
      </c>
      <c r="I411" s="24">
        <f>IF(OR(G411="",H411=""),"",G411/H411)</f>
        <v/>
      </c>
    </row>
    <row r="412">
      <c r="A412" s="19" t="n"/>
      <c r="C412" s="18">
        <f>IFERROR(VLOOKUP(B412,Alumnos!$A:$B,2,FALSE),"")</f>
        <v/>
      </c>
      <c r="I412" s="24">
        <f>IF(OR(G412="",H412=""),"",G412/H412)</f>
        <v/>
      </c>
    </row>
    <row r="413">
      <c r="A413" s="19" t="n"/>
      <c r="C413" s="18">
        <f>IFERROR(VLOOKUP(B413,Alumnos!$A:$B,2,FALSE),"")</f>
        <v/>
      </c>
      <c r="I413" s="24">
        <f>IF(OR(G413="",H413=""),"",G413/H413)</f>
        <v/>
      </c>
    </row>
    <row r="414">
      <c r="A414" s="19" t="n"/>
      <c r="C414" s="18">
        <f>IFERROR(VLOOKUP(B414,Alumnos!$A:$B,2,FALSE),"")</f>
        <v/>
      </c>
      <c r="I414" s="24">
        <f>IF(OR(G414="",H414=""),"",G414/H414)</f>
        <v/>
      </c>
    </row>
    <row r="415">
      <c r="A415" s="19" t="n"/>
      <c r="C415" s="18">
        <f>IFERROR(VLOOKUP(B415,Alumnos!$A:$B,2,FALSE),"")</f>
        <v/>
      </c>
      <c r="I415" s="24">
        <f>IF(OR(G415="",H415=""),"",G415/H415)</f>
        <v/>
      </c>
    </row>
    <row r="416">
      <c r="A416" s="19" t="n"/>
      <c r="C416" s="18">
        <f>IFERROR(VLOOKUP(B416,Alumnos!$A:$B,2,FALSE),"")</f>
        <v/>
      </c>
      <c r="I416" s="24">
        <f>IF(OR(G416="",H416=""),"",G416/H416)</f>
        <v/>
      </c>
    </row>
    <row r="417">
      <c r="A417" s="19" t="n"/>
      <c r="C417" s="18">
        <f>IFERROR(VLOOKUP(B417,Alumnos!$A:$B,2,FALSE),"")</f>
        <v/>
      </c>
      <c r="I417" s="24">
        <f>IF(OR(G417="",H417=""),"",G417/H417)</f>
        <v/>
      </c>
    </row>
    <row r="418">
      <c r="A418" s="19" t="n"/>
      <c r="C418" s="18">
        <f>IFERROR(VLOOKUP(B418,Alumnos!$A:$B,2,FALSE),"")</f>
        <v/>
      </c>
      <c r="I418" s="24">
        <f>IF(OR(G418="",H418=""),"",G418/H418)</f>
        <v/>
      </c>
    </row>
    <row r="419">
      <c r="A419" s="19" t="n"/>
      <c r="C419" s="18">
        <f>IFERROR(VLOOKUP(B419,Alumnos!$A:$B,2,FALSE),"")</f>
        <v/>
      </c>
      <c r="I419" s="24">
        <f>IF(OR(G419="",H419=""),"",G419/H419)</f>
        <v/>
      </c>
    </row>
    <row r="420">
      <c r="A420" s="19" t="n"/>
      <c r="C420" s="18">
        <f>IFERROR(VLOOKUP(B420,Alumnos!$A:$B,2,FALSE),"")</f>
        <v/>
      </c>
      <c r="I420" s="24">
        <f>IF(OR(G420="",H420=""),"",G420/H420)</f>
        <v/>
      </c>
    </row>
    <row r="421">
      <c r="A421" s="19" t="n"/>
      <c r="C421" s="18">
        <f>IFERROR(VLOOKUP(B421,Alumnos!$A:$B,2,FALSE),"")</f>
        <v/>
      </c>
      <c r="I421" s="24">
        <f>IF(OR(G421="",H421=""),"",G421/H421)</f>
        <v/>
      </c>
    </row>
    <row r="422">
      <c r="A422" s="19" t="n"/>
      <c r="C422" s="18">
        <f>IFERROR(VLOOKUP(B422,Alumnos!$A:$B,2,FALSE),"")</f>
        <v/>
      </c>
      <c r="I422" s="24">
        <f>IF(OR(G422="",H422=""),"",G422/H422)</f>
        <v/>
      </c>
    </row>
    <row r="423">
      <c r="A423" s="19" t="n"/>
      <c r="C423" s="18">
        <f>IFERROR(VLOOKUP(B423,Alumnos!$A:$B,2,FALSE),"")</f>
        <v/>
      </c>
      <c r="I423" s="24">
        <f>IF(OR(G423="",H423=""),"",G423/H423)</f>
        <v/>
      </c>
    </row>
    <row r="424">
      <c r="A424" s="19" t="n"/>
      <c r="C424" s="18">
        <f>IFERROR(VLOOKUP(B424,Alumnos!$A:$B,2,FALSE),"")</f>
        <v/>
      </c>
      <c r="I424" s="24">
        <f>IF(OR(G424="",H424=""),"",G424/H424)</f>
        <v/>
      </c>
    </row>
    <row r="425">
      <c r="A425" s="19" t="n"/>
      <c r="C425" s="18">
        <f>IFERROR(VLOOKUP(B425,Alumnos!$A:$B,2,FALSE),"")</f>
        <v/>
      </c>
      <c r="I425" s="24">
        <f>IF(OR(G425="",H425=""),"",G425/H425)</f>
        <v/>
      </c>
    </row>
    <row r="426">
      <c r="A426" s="19" t="n"/>
      <c r="C426" s="18">
        <f>IFERROR(VLOOKUP(B426,Alumnos!$A:$B,2,FALSE),"")</f>
        <v/>
      </c>
      <c r="I426" s="24">
        <f>IF(OR(G426="",H426=""),"",G426/H426)</f>
        <v/>
      </c>
    </row>
    <row r="427">
      <c r="A427" s="19" t="n"/>
      <c r="C427" s="18">
        <f>IFERROR(VLOOKUP(B427,Alumnos!$A:$B,2,FALSE),"")</f>
        <v/>
      </c>
      <c r="I427" s="24">
        <f>IF(OR(G427="",H427=""),"",G427/H427)</f>
        <v/>
      </c>
    </row>
    <row r="428">
      <c r="A428" s="19" t="n"/>
      <c r="C428" s="18">
        <f>IFERROR(VLOOKUP(B428,Alumnos!$A:$B,2,FALSE),"")</f>
        <v/>
      </c>
      <c r="I428" s="24">
        <f>IF(OR(G428="",H428=""),"",G428/H428)</f>
        <v/>
      </c>
    </row>
    <row r="429">
      <c r="A429" s="19" t="n"/>
      <c r="C429" s="18">
        <f>IFERROR(VLOOKUP(B429,Alumnos!$A:$B,2,FALSE),"")</f>
        <v/>
      </c>
      <c r="I429" s="24">
        <f>IF(OR(G429="",H429=""),"",G429/H429)</f>
        <v/>
      </c>
    </row>
    <row r="430">
      <c r="A430" s="19" t="n"/>
      <c r="C430" s="18">
        <f>IFERROR(VLOOKUP(B430,Alumnos!$A:$B,2,FALSE),"")</f>
        <v/>
      </c>
      <c r="I430" s="24">
        <f>IF(OR(G430="",H430=""),"",G430/H430)</f>
        <v/>
      </c>
    </row>
    <row r="431">
      <c r="A431" s="19" t="n"/>
      <c r="C431" s="18">
        <f>IFERROR(VLOOKUP(B431,Alumnos!$A:$B,2,FALSE),"")</f>
        <v/>
      </c>
      <c r="I431" s="24">
        <f>IF(OR(G431="",H431=""),"",G431/H431)</f>
        <v/>
      </c>
    </row>
    <row r="432">
      <c r="A432" s="19" t="n"/>
      <c r="C432" s="18">
        <f>IFERROR(VLOOKUP(B432,Alumnos!$A:$B,2,FALSE),"")</f>
        <v/>
      </c>
      <c r="I432" s="24">
        <f>IF(OR(G432="",H432=""),"",G432/H432)</f>
        <v/>
      </c>
    </row>
    <row r="433">
      <c r="A433" s="19" t="n"/>
      <c r="C433" s="18">
        <f>IFERROR(VLOOKUP(B433,Alumnos!$A:$B,2,FALSE),"")</f>
        <v/>
      </c>
      <c r="I433" s="24">
        <f>IF(OR(G433="",H433=""),"",G433/H433)</f>
        <v/>
      </c>
    </row>
    <row r="434">
      <c r="A434" s="19" t="n"/>
      <c r="C434" s="18">
        <f>IFERROR(VLOOKUP(B434,Alumnos!$A:$B,2,FALSE),"")</f>
        <v/>
      </c>
      <c r="I434" s="24">
        <f>IF(OR(G434="",H434=""),"",G434/H434)</f>
        <v/>
      </c>
    </row>
    <row r="435">
      <c r="A435" s="19" t="n"/>
      <c r="C435" s="18">
        <f>IFERROR(VLOOKUP(B435,Alumnos!$A:$B,2,FALSE),"")</f>
        <v/>
      </c>
      <c r="I435" s="24">
        <f>IF(OR(G435="",H435=""),"",G435/H435)</f>
        <v/>
      </c>
    </row>
    <row r="436">
      <c r="A436" s="19" t="n"/>
      <c r="C436" s="18">
        <f>IFERROR(VLOOKUP(B436,Alumnos!$A:$B,2,FALSE),"")</f>
        <v/>
      </c>
      <c r="I436" s="24">
        <f>IF(OR(G436="",H436=""),"",G436/H436)</f>
        <v/>
      </c>
    </row>
    <row r="437">
      <c r="A437" s="19" t="n"/>
      <c r="C437" s="18">
        <f>IFERROR(VLOOKUP(B437,Alumnos!$A:$B,2,FALSE),"")</f>
        <v/>
      </c>
      <c r="I437" s="24">
        <f>IF(OR(G437="",H437=""),"",G437/H437)</f>
        <v/>
      </c>
    </row>
    <row r="438">
      <c r="A438" s="19" t="n"/>
      <c r="C438" s="18">
        <f>IFERROR(VLOOKUP(B438,Alumnos!$A:$B,2,FALSE),"")</f>
        <v/>
      </c>
      <c r="I438" s="24">
        <f>IF(OR(G438="",H438=""),"",G438/H438)</f>
        <v/>
      </c>
    </row>
    <row r="439">
      <c r="A439" s="19" t="n"/>
      <c r="C439" s="18">
        <f>IFERROR(VLOOKUP(B439,Alumnos!$A:$B,2,FALSE),"")</f>
        <v/>
      </c>
      <c r="I439" s="24">
        <f>IF(OR(G439="",H439=""),"",G439/H439)</f>
        <v/>
      </c>
    </row>
    <row r="440">
      <c r="A440" s="19" t="n"/>
      <c r="C440" s="18">
        <f>IFERROR(VLOOKUP(B440,Alumnos!$A:$B,2,FALSE),"")</f>
        <v/>
      </c>
      <c r="I440" s="24">
        <f>IF(OR(G440="",H440=""),"",G440/H440)</f>
        <v/>
      </c>
    </row>
    <row r="441">
      <c r="A441" s="19" t="n"/>
      <c r="C441" s="18">
        <f>IFERROR(VLOOKUP(B441,Alumnos!$A:$B,2,FALSE),"")</f>
        <v/>
      </c>
      <c r="I441" s="24">
        <f>IF(OR(G441="",H441=""),"",G441/H441)</f>
        <v/>
      </c>
    </row>
    <row r="442">
      <c r="A442" s="19" t="n"/>
      <c r="C442" s="18">
        <f>IFERROR(VLOOKUP(B442,Alumnos!$A:$B,2,FALSE),"")</f>
        <v/>
      </c>
      <c r="I442" s="24">
        <f>IF(OR(G442="",H442=""),"",G442/H442)</f>
        <v/>
      </c>
    </row>
    <row r="443">
      <c r="A443" s="19" t="n"/>
      <c r="C443" s="18">
        <f>IFERROR(VLOOKUP(B443,Alumnos!$A:$B,2,FALSE),"")</f>
        <v/>
      </c>
      <c r="I443" s="24">
        <f>IF(OR(G443="",H443=""),"",G443/H443)</f>
        <v/>
      </c>
    </row>
    <row r="444">
      <c r="A444" s="19" t="n"/>
      <c r="C444" s="18">
        <f>IFERROR(VLOOKUP(B444,Alumnos!$A:$B,2,FALSE),"")</f>
        <v/>
      </c>
      <c r="I444" s="24">
        <f>IF(OR(G444="",H444=""),"",G444/H444)</f>
        <v/>
      </c>
    </row>
    <row r="445">
      <c r="A445" s="19" t="n"/>
      <c r="C445" s="18">
        <f>IFERROR(VLOOKUP(B445,Alumnos!$A:$B,2,FALSE),"")</f>
        <v/>
      </c>
      <c r="I445" s="24">
        <f>IF(OR(G445="",H445=""),"",G445/H445)</f>
        <v/>
      </c>
    </row>
    <row r="446">
      <c r="A446" s="19" t="n"/>
      <c r="C446" s="18">
        <f>IFERROR(VLOOKUP(B446,Alumnos!$A:$B,2,FALSE),"")</f>
        <v/>
      </c>
      <c r="I446" s="24">
        <f>IF(OR(G446="",H446=""),"",G446/H446)</f>
        <v/>
      </c>
    </row>
    <row r="447">
      <c r="A447" s="19" t="n"/>
      <c r="C447" s="18">
        <f>IFERROR(VLOOKUP(B447,Alumnos!$A:$B,2,FALSE),"")</f>
        <v/>
      </c>
      <c r="I447" s="24">
        <f>IF(OR(G447="",H447=""),"",G447/H447)</f>
        <v/>
      </c>
    </row>
    <row r="448">
      <c r="A448" s="19" t="n"/>
      <c r="C448" s="18">
        <f>IFERROR(VLOOKUP(B448,Alumnos!$A:$B,2,FALSE),"")</f>
        <v/>
      </c>
      <c r="I448" s="24">
        <f>IF(OR(G448="",H448=""),"",G448/H448)</f>
        <v/>
      </c>
    </row>
    <row r="449">
      <c r="A449" s="19" t="n"/>
      <c r="C449" s="18">
        <f>IFERROR(VLOOKUP(B449,Alumnos!$A:$B,2,FALSE),"")</f>
        <v/>
      </c>
      <c r="I449" s="24">
        <f>IF(OR(G449="",H449=""),"",G449/H449)</f>
        <v/>
      </c>
    </row>
    <row r="450">
      <c r="A450" s="19" t="n"/>
      <c r="C450" s="18">
        <f>IFERROR(VLOOKUP(B450,Alumnos!$A:$B,2,FALSE),"")</f>
        <v/>
      </c>
      <c r="I450" s="24">
        <f>IF(OR(G450="",H450=""),"",G450/H450)</f>
        <v/>
      </c>
    </row>
    <row r="451">
      <c r="A451" s="19" t="n"/>
      <c r="C451" s="18">
        <f>IFERROR(VLOOKUP(B451,Alumnos!$A:$B,2,FALSE),"")</f>
        <v/>
      </c>
      <c r="I451" s="24">
        <f>IF(OR(G451="",H451=""),"",G451/H451)</f>
        <v/>
      </c>
    </row>
    <row r="452">
      <c r="A452" s="19" t="n"/>
      <c r="C452" s="18">
        <f>IFERROR(VLOOKUP(B452,Alumnos!$A:$B,2,FALSE),"")</f>
        <v/>
      </c>
      <c r="I452" s="24">
        <f>IF(OR(G452="",H452=""),"",G452/H452)</f>
        <v/>
      </c>
    </row>
    <row r="453">
      <c r="A453" s="19" t="n"/>
      <c r="C453" s="18">
        <f>IFERROR(VLOOKUP(B453,Alumnos!$A:$B,2,FALSE),"")</f>
        <v/>
      </c>
      <c r="I453" s="24">
        <f>IF(OR(G453="",H453=""),"",G453/H453)</f>
        <v/>
      </c>
    </row>
    <row r="454">
      <c r="A454" s="19" t="n"/>
      <c r="C454" s="18">
        <f>IFERROR(VLOOKUP(B454,Alumnos!$A:$B,2,FALSE),"")</f>
        <v/>
      </c>
      <c r="I454" s="24">
        <f>IF(OR(G454="",H454=""),"",G454/H454)</f>
        <v/>
      </c>
    </row>
    <row r="455">
      <c r="A455" s="19" t="n"/>
      <c r="C455" s="18">
        <f>IFERROR(VLOOKUP(B455,Alumnos!$A:$B,2,FALSE),"")</f>
        <v/>
      </c>
      <c r="I455" s="24">
        <f>IF(OR(G455="",H455=""),"",G455/H455)</f>
        <v/>
      </c>
    </row>
    <row r="456">
      <c r="A456" s="19" t="n"/>
      <c r="C456" s="18">
        <f>IFERROR(VLOOKUP(B456,Alumnos!$A:$B,2,FALSE),"")</f>
        <v/>
      </c>
      <c r="I456" s="24">
        <f>IF(OR(G456="",H456=""),"",G456/H456)</f>
        <v/>
      </c>
    </row>
    <row r="457">
      <c r="A457" s="19" t="n"/>
      <c r="C457" s="18">
        <f>IFERROR(VLOOKUP(B457,Alumnos!$A:$B,2,FALSE),"")</f>
        <v/>
      </c>
      <c r="I457" s="24">
        <f>IF(OR(G457="",H457=""),"",G457/H457)</f>
        <v/>
      </c>
    </row>
    <row r="458">
      <c r="A458" s="19" t="n"/>
      <c r="C458" s="18">
        <f>IFERROR(VLOOKUP(B458,Alumnos!$A:$B,2,FALSE),"")</f>
        <v/>
      </c>
      <c r="I458" s="24">
        <f>IF(OR(G458="",H458=""),"",G458/H458)</f>
        <v/>
      </c>
    </row>
    <row r="459">
      <c r="A459" s="19" t="n"/>
      <c r="C459" s="18">
        <f>IFERROR(VLOOKUP(B459,Alumnos!$A:$B,2,FALSE),"")</f>
        <v/>
      </c>
      <c r="I459" s="24">
        <f>IF(OR(G459="",H459=""),"",G459/H459)</f>
        <v/>
      </c>
    </row>
    <row r="460">
      <c r="A460" s="19" t="n"/>
      <c r="C460" s="18">
        <f>IFERROR(VLOOKUP(B460,Alumnos!$A:$B,2,FALSE),"")</f>
        <v/>
      </c>
      <c r="I460" s="24">
        <f>IF(OR(G460="",H460=""),"",G460/H460)</f>
        <v/>
      </c>
    </row>
    <row r="461">
      <c r="A461" s="19" t="n"/>
      <c r="C461" s="18">
        <f>IFERROR(VLOOKUP(B461,Alumnos!$A:$B,2,FALSE),"")</f>
        <v/>
      </c>
      <c r="I461" s="24">
        <f>IF(OR(G461="",H461=""),"",G461/H461)</f>
        <v/>
      </c>
    </row>
    <row r="462">
      <c r="A462" s="19" t="n"/>
      <c r="C462" s="18">
        <f>IFERROR(VLOOKUP(B462,Alumnos!$A:$B,2,FALSE),"")</f>
        <v/>
      </c>
      <c r="I462" s="24">
        <f>IF(OR(G462="",H462=""),"",G462/H462)</f>
        <v/>
      </c>
    </row>
    <row r="463">
      <c r="A463" s="19" t="n"/>
      <c r="C463" s="18">
        <f>IFERROR(VLOOKUP(B463,Alumnos!$A:$B,2,FALSE),"")</f>
        <v/>
      </c>
      <c r="I463" s="24">
        <f>IF(OR(G463="",H463=""),"",G463/H463)</f>
        <v/>
      </c>
    </row>
    <row r="464">
      <c r="A464" s="19" t="n"/>
      <c r="C464" s="18">
        <f>IFERROR(VLOOKUP(B464,Alumnos!$A:$B,2,FALSE),"")</f>
        <v/>
      </c>
      <c r="I464" s="24">
        <f>IF(OR(G464="",H464=""),"",G464/H464)</f>
        <v/>
      </c>
    </row>
    <row r="465">
      <c r="A465" s="19" t="n"/>
      <c r="C465" s="18">
        <f>IFERROR(VLOOKUP(B465,Alumnos!$A:$B,2,FALSE),"")</f>
        <v/>
      </c>
      <c r="I465" s="24">
        <f>IF(OR(G465="",H465=""),"",G465/H465)</f>
        <v/>
      </c>
    </row>
    <row r="466">
      <c r="A466" s="19" t="n"/>
      <c r="C466" s="18">
        <f>IFERROR(VLOOKUP(B466,Alumnos!$A:$B,2,FALSE),"")</f>
        <v/>
      </c>
      <c r="I466" s="24">
        <f>IF(OR(G466="",H466=""),"",G466/H466)</f>
        <v/>
      </c>
    </row>
    <row r="467">
      <c r="A467" s="19" t="n"/>
      <c r="C467" s="18">
        <f>IFERROR(VLOOKUP(B467,Alumnos!$A:$B,2,FALSE),"")</f>
        <v/>
      </c>
      <c r="I467" s="24">
        <f>IF(OR(G467="",H467=""),"",G467/H467)</f>
        <v/>
      </c>
    </row>
    <row r="468">
      <c r="A468" s="19" t="n"/>
      <c r="C468" s="18">
        <f>IFERROR(VLOOKUP(B468,Alumnos!$A:$B,2,FALSE),"")</f>
        <v/>
      </c>
      <c r="I468" s="24">
        <f>IF(OR(G468="",H468=""),"",G468/H468)</f>
        <v/>
      </c>
    </row>
    <row r="469">
      <c r="A469" s="19" t="n"/>
      <c r="C469" s="18">
        <f>IFERROR(VLOOKUP(B469,Alumnos!$A:$B,2,FALSE),"")</f>
        <v/>
      </c>
      <c r="I469" s="24">
        <f>IF(OR(G469="",H469=""),"",G469/H469)</f>
        <v/>
      </c>
    </row>
    <row r="470">
      <c r="A470" s="19" t="n"/>
      <c r="C470" s="18">
        <f>IFERROR(VLOOKUP(B470,Alumnos!$A:$B,2,FALSE),"")</f>
        <v/>
      </c>
      <c r="I470" s="24">
        <f>IF(OR(G470="",H470=""),"",G470/H470)</f>
        <v/>
      </c>
    </row>
    <row r="471">
      <c r="A471" s="19" t="n"/>
      <c r="C471" s="18">
        <f>IFERROR(VLOOKUP(B471,Alumnos!$A:$B,2,FALSE),"")</f>
        <v/>
      </c>
      <c r="I471" s="24">
        <f>IF(OR(G471="",H471=""),"",G471/H471)</f>
        <v/>
      </c>
    </row>
    <row r="472">
      <c r="A472" s="19" t="n"/>
      <c r="C472" s="18">
        <f>IFERROR(VLOOKUP(B472,Alumnos!$A:$B,2,FALSE),"")</f>
        <v/>
      </c>
      <c r="I472" s="24">
        <f>IF(OR(G472="",H472=""),"",G472/H472)</f>
        <v/>
      </c>
    </row>
    <row r="473">
      <c r="A473" s="19" t="n"/>
      <c r="C473" s="18">
        <f>IFERROR(VLOOKUP(B473,Alumnos!$A:$B,2,FALSE),"")</f>
        <v/>
      </c>
      <c r="I473" s="24">
        <f>IF(OR(G473="",H473=""),"",G473/H473)</f>
        <v/>
      </c>
    </row>
    <row r="474">
      <c r="A474" s="19" t="n"/>
      <c r="C474" s="18">
        <f>IFERROR(VLOOKUP(B474,Alumnos!$A:$B,2,FALSE),"")</f>
        <v/>
      </c>
      <c r="I474" s="24">
        <f>IF(OR(G474="",H474=""),"",G474/H474)</f>
        <v/>
      </c>
    </row>
    <row r="475">
      <c r="A475" s="19" t="n"/>
      <c r="C475" s="18">
        <f>IFERROR(VLOOKUP(B475,Alumnos!$A:$B,2,FALSE),"")</f>
        <v/>
      </c>
      <c r="I475" s="24">
        <f>IF(OR(G475="",H475=""),"",G475/H475)</f>
        <v/>
      </c>
    </row>
    <row r="476">
      <c r="A476" s="19" t="n"/>
      <c r="C476" s="18">
        <f>IFERROR(VLOOKUP(B476,Alumnos!$A:$B,2,FALSE),"")</f>
        <v/>
      </c>
      <c r="I476" s="24">
        <f>IF(OR(G476="",H476=""),"",G476/H476)</f>
        <v/>
      </c>
    </row>
    <row r="477">
      <c r="A477" s="19" t="n"/>
      <c r="C477" s="18">
        <f>IFERROR(VLOOKUP(B477,Alumnos!$A:$B,2,FALSE),"")</f>
        <v/>
      </c>
      <c r="I477" s="24">
        <f>IF(OR(G477="",H477=""),"",G477/H477)</f>
        <v/>
      </c>
    </row>
    <row r="478">
      <c r="A478" s="19" t="n"/>
      <c r="C478" s="18">
        <f>IFERROR(VLOOKUP(B478,Alumnos!$A:$B,2,FALSE),"")</f>
        <v/>
      </c>
      <c r="I478" s="24">
        <f>IF(OR(G478="",H478=""),"",G478/H478)</f>
        <v/>
      </c>
    </row>
    <row r="479">
      <c r="A479" s="19" t="n"/>
      <c r="C479" s="18">
        <f>IFERROR(VLOOKUP(B479,Alumnos!$A:$B,2,FALSE),"")</f>
        <v/>
      </c>
      <c r="I479" s="24">
        <f>IF(OR(G479="",H479=""),"",G479/H479)</f>
        <v/>
      </c>
    </row>
    <row r="480">
      <c r="A480" s="19" t="n"/>
      <c r="C480" s="18">
        <f>IFERROR(VLOOKUP(B480,Alumnos!$A:$B,2,FALSE),"")</f>
        <v/>
      </c>
      <c r="I480" s="24">
        <f>IF(OR(G480="",H480=""),"",G480/H480)</f>
        <v/>
      </c>
    </row>
    <row r="481">
      <c r="A481" s="19" t="n"/>
      <c r="C481" s="18">
        <f>IFERROR(VLOOKUP(B481,Alumnos!$A:$B,2,FALSE),"")</f>
        <v/>
      </c>
      <c r="I481" s="24">
        <f>IF(OR(G481="",H481=""),"",G481/H481)</f>
        <v/>
      </c>
    </row>
    <row r="482">
      <c r="A482" s="19" t="n"/>
      <c r="C482" s="18">
        <f>IFERROR(VLOOKUP(B482,Alumnos!$A:$B,2,FALSE),"")</f>
        <v/>
      </c>
      <c r="I482" s="24">
        <f>IF(OR(G482="",H482=""),"",G482/H482)</f>
        <v/>
      </c>
    </row>
    <row r="483">
      <c r="A483" s="19" t="n"/>
      <c r="C483" s="18">
        <f>IFERROR(VLOOKUP(B483,Alumnos!$A:$B,2,FALSE),"")</f>
        <v/>
      </c>
      <c r="I483" s="24">
        <f>IF(OR(G483="",H483=""),"",G483/H483)</f>
        <v/>
      </c>
    </row>
    <row r="484">
      <c r="A484" s="19" t="n"/>
      <c r="C484" s="18">
        <f>IFERROR(VLOOKUP(B484,Alumnos!$A:$B,2,FALSE),"")</f>
        <v/>
      </c>
      <c r="I484" s="24">
        <f>IF(OR(G484="",H484=""),"",G484/H484)</f>
        <v/>
      </c>
    </row>
    <row r="485">
      <c r="A485" s="19" t="n"/>
      <c r="C485" s="18">
        <f>IFERROR(VLOOKUP(B485,Alumnos!$A:$B,2,FALSE),"")</f>
        <v/>
      </c>
      <c r="I485" s="24">
        <f>IF(OR(G485="",H485=""),"",G485/H485)</f>
        <v/>
      </c>
    </row>
    <row r="486">
      <c r="A486" s="19" t="n"/>
      <c r="C486" s="18">
        <f>IFERROR(VLOOKUP(B486,Alumnos!$A:$B,2,FALSE),"")</f>
        <v/>
      </c>
      <c r="I486" s="24">
        <f>IF(OR(G486="",H486=""),"",G486/H486)</f>
        <v/>
      </c>
    </row>
    <row r="487">
      <c r="A487" s="19" t="n"/>
      <c r="C487" s="18">
        <f>IFERROR(VLOOKUP(B487,Alumnos!$A:$B,2,FALSE),"")</f>
        <v/>
      </c>
      <c r="I487" s="24">
        <f>IF(OR(G487="",H487=""),"",G487/H487)</f>
        <v/>
      </c>
    </row>
    <row r="488">
      <c r="A488" s="19" t="n"/>
      <c r="C488" s="18">
        <f>IFERROR(VLOOKUP(B488,Alumnos!$A:$B,2,FALSE),"")</f>
        <v/>
      </c>
      <c r="I488" s="24">
        <f>IF(OR(G488="",H488=""),"",G488/H488)</f>
        <v/>
      </c>
    </row>
    <row r="489">
      <c r="A489" s="19" t="n"/>
      <c r="C489" s="18">
        <f>IFERROR(VLOOKUP(B489,Alumnos!$A:$B,2,FALSE),"")</f>
        <v/>
      </c>
      <c r="I489" s="24">
        <f>IF(OR(G489="",H489=""),"",G489/H489)</f>
        <v/>
      </c>
    </row>
    <row r="490">
      <c r="A490" s="19" t="n"/>
      <c r="C490" s="18">
        <f>IFERROR(VLOOKUP(B490,Alumnos!$A:$B,2,FALSE),"")</f>
        <v/>
      </c>
      <c r="I490" s="24">
        <f>IF(OR(G490="",H490=""),"",G490/H490)</f>
        <v/>
      </c>
    </row>
    <row r="491">
      <c r="A491" s="19" t="n"/>
      <c r="C491" s="18">
        <f>IFERROR(VLOOKUP(B491,Alumnos!$A:$B,2,FALSE),"")</f>
        <v/>
      </c>
      <c r="I491" s="24">
        <f>IF(OR(G491="",H491=""),"",G491/H491)</f>
        <v/>
      </c>
    </row>
    <row r="492">
      <c r="A492" s="19" t="n"/>
      <c r="C492" s="18">
        <f>IFERROR(VLOOKUP(B492,Alumnos!$A:$B,2,FALSE),"")</f>
        <v/>
      </c>
      <c r="I492" s="24">
        <f>IF(OR(G492="",H492=""),"",G492/H492)</f>
        <v/>
      </c>
    </row>
    <row r="493">
      <c r="A493" s="19" t="n"/>
      <c r="C493" s="18">
        <f>IFERROR(VLOOKUP(B493,Alumnos!$A:$B,2,FALSE),"")</f>
        <v/>
      </c>
      <c r="I493" s="24">
        <f>IF(OR(G493="",H493=""),"",G493/H493)</f>
        <v/>
      </c>
    </row>
    <row r="494">
      <c r="A494" s="19" t="n"/>
      <c r="C494" s="18">
        <f>IFERROR(VLOOKUP(B494,Alumnos!$A:$B,2,FALSE),"")</f>
        <v/>
      </c>
      <c r="I494" s="24">
        <f>IF(OR(G494="",H494=""),"",G494/H494)</f>
        <v/>
      </c>
    </row>
    <row r="495">
      <c r="A495" s="19" t="n"/>
      <c r="C495" s="18">
        <f>IFERROR(VLOOKUP(B495,Alumnos!$A:$B,2,FALSE),"")</f>
        <v/>
      </c>
      <c r="I495" s="24">
        <f>IF(OR(G495="",H495=""),"",G495/H495)</f>
        <v/>
      </c>
    </row>
    <row r="496">
      <c r="A496" s="19" t="n"/>
      <c r="C496" s="18">
        <f>IFERROR(VLOOKUP(B496,Alumnos!$A:$B,2,FALSE),"")</f>
        <v/>
      </c>
      <c r="I496" s="24">
        <f>IF(OR(G496="",H496=""),"",G496/H496)</f>
        <v/>
      </c>
    </row>
    <row r="497">
      <c r="A497" s="19" t="n"/>
      <c r="C497" s="18">
        <f>IFERROR(VLOOKUP(B497,Alumnos!$A:$B,2,FALSE),"")</f>
        <v/>
      </c>
      <c r="I497" s="24">
        <f>IF(OR(G497="",H497=""),"",G497/H497)</f>
        <v/>
      </c>
    </row>
    <row r="498">
      <c r="A498" s="19" t="n"/>
      <c r="C498" s="18">
        <f>IFERROR(VLOOKUP(B498,Alumnos!$A:$B,2,FALSE),"")</f>
        <v/>
      </c>
      <c r="I498" s="24">
        <f>IF(OR(G498="",H498=""),"",G498/H498)</f>
        <v/>
      </c>
    </row>
    <row r="499">
      <c r="A499" s="19" t="n"/>
      <c r="C499" s="18">
        <f>IFERROR(VLOOKUP(B499,Alumnos!$A:$B,2,FALSE),"")</f>
        <v/>
      </c>
      <c r="I499" s="24">
        <f>IF(OR(G499="",H499=""),"",G499/H499)</f>
        <v/>
      </c>
    </row>
    <row r="500">
      <c r="A500" s="19" t="n"/>
      <c r="C500" s="18">
        <f>IFERROR(VLOOKUP(B500,Alumnos!$A:$B,2,FALSE),"")</f>
        <v/>
      </c>
      <c r="I500" s="24">
        <f>IF(OR(G500="",H500=""),"",G500/H500)</f>
        <v/>
      </c>
    </row>
    <row r="501">
      <c r="A501" s="19" t="n"/>
      <c r="C501" s="18">
        <f>IFERROR(VLOOKUP(B501,Alumnos!$A:$B,2,FALSE),"")</f>
        <v/>
      </c>
      <c r="I501" s="24">
        <f>IF(OR(G501="",H501=""),"",G501/H501)</f>
        <v/>
      </c>
    </row>
  </sheetData>
  <dataValidations count="1">
    <dataValidation sqref="D2:D501" showDropDown="0" showInputMessage="0" showErrorMessage="0" allowBlank="1" type="list">
      <formula1>Listas!$B$2:$B$7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A2A6"/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18" customWidth="1" min="4" max="4"/>
    <col width="24" customWidth="1" min="5" max="5"/>
    <col width="12" customWidth="1" min="6" max="6"/>
    <col width="10" customWidth="1" min="7" max="7"/>
    <col width="10" customWidth="1" min="8" max="8"/>
    <col width="12" customWidth="1" min="9" max="9"/>
  </cols>
  <sheetData>
    <row r="1" ht="32" customHeight="1">
      <c r="A1" s="17" t="inlineStr">
        <is>
          <t>Nombre</t>
        </is>
      </c>
      <c r="B1" s="17" t="inlineStr">
        <is>
          <t>WhatsApp</t>
        </is>
      </c>
      <c r="C1" s="17" t="inlineStr">
        <is>
          <t>Cursos que dicta</t>
        </is>
      </c>
      <c r="D1" s="17" t="inlineStr">
        <is>
          <t>Niveles</t>
        </is>
      </c>
      <c r="E1" s="17" t="inlineStr">
        <is>
          <t>Disponibilidad</t>
        </is>
      </c>
      <c r="F1" s="17" t="inlineStr">
        <is>
          <t>Pago por hora (S/)</t>
        </is>
      </c>
      <c r="G1" s="17" t="inlineStr">
        <is>
          <t>Estado</t>
        </is>
      </c>
      <c r="H1" s="16" t="inlineStr">
        <is>
          <t>Horas dictadas</t>
        </is>
      </c>
      <c r="I1" s="16" t="inlineStr">
        <is>
          <t>Por pagar (S/)</t>
        </is>
      </c>
    </row>
    <row r="2">
      <c r="A2" t="inlineStr">
        <is>
          <t>Martini</t>
        </is>
      </c>
      <c r="C2" t="inlineStr">
        <is>
          <t>Todos</t>
        </is>
      </c>
      <c r="D2" t="inlineStr">
        <is>
          <t>Todos</t>
        </is>
      </c>
      <c r="F2" t="n">
        <v>0</v>
      </c>
      <c r="G2" t="inlineStr">
        <is>
          <t>Activo</t>
        </is>
      </c>
      <c r="H2" s="18">
        <f>IF(A2="","",SUMIFS(Clases!$I:$I,Clases!$F:$F,A2,Clases!$J:$J,"&lt;&gt;Reprogramada"))</f>
        <v/>
      </c>
      <c r="I2" s="20">
        <f>IF(A2="","",SUMIFS(Clases!$N:$N,Clases!$F:$F,A2))</f>
        <v/>
      </c>
    </row>
    <row r="3">
      <c r="H3" s="18">
        <f>IF(A3="","",SUMIFS(Clases!$I:$I,Clases!$F:$F,A3,Clases!$J:$J,"&lt;&gt;Reprogramada"))</f>
        <v/>
      </c>
      <c r="I3" s="20">
        <f>IF(A3="","",SUMIFS(Clases!$N:$N,Clases!$F:$F,A3))</f>
        <v/>
      </c>
    </row>
    <row r="4">
      <c r="H4" s="18">
        <f>IF(A4="","",SUMIFS(Clases!$I:$I,Clases!$F:$F,A4,Clases!$J:$J,"&lt;&gt;Reprogramada"))</f>
        <v/>
      </c>
      <c r="I4" s="20">
        <f>IF(A4="","",SUMIFS(Clases!$N:$N,Clases!$F:$F,A4))</f>
        <v/>
      </c>
    </row>
    <row r="5">
      <c r="H5" s="18">
        <f>IF(A5="","",SUMIFS(Clases!$I:$I,Clases!$F:$F,A5,Clases!$J:$J,"&lt;&gt;Reprogramada"))</f>
        <v/>
      </c>
      <c r="I5" s="20">
        <f>IF(A5="","",SUMIFS(Clases!$N:$N,Clases!$F:$F,A5))</f>
        <v/>
      </c>
    </row>
    <row r="6">
      <c r="H6" s="18">
        <f>IF(A6="","",SUMIFS(Clases!$I:$I,Clases!$F:$F,A6,Clases!$J:$J,"&lt;&gt;Reprogramada"))</f>
        <v/>
      </c>
      <c r="I6" s="20">
        <f>IF(A6="","",SUMIFS(Clases!$N:$N,Clases!$F:$F,A6))</f>
        <v/>
      </c>
    </row>
    <row r="7">
      <c r="H7" s="18">
        <f>IF(A7="","",SUMIFS(Clases!$I:$I,Clases!$F:$F,A7,Clases!$J:$J,"&lt;&gt;Reprogramada"))</f>
        <v/>
      </c>
      <c r="I7" s="20">
        <f>IF(A7="","",SUMIFS(Clases!$N:$N,Clases!$F:$F,A7))</f>
        <v/>
      </c>
    </row>
    <row r="8">
      <c r="H8" s="18">
        <f>IF(A8="","",SUMIFS(Clases!$I:$I,Clases!$F:$F,A8,Clases!$J:$J,"&lt;&gt;Reprogramada"))</f>
        <v/>
      </c>
      <c r="I8" s="20">
        <f>IF(A8="","",SUMIFS(Clases!$N:$N,Clases!$F:$F,A8))</f>
        <v/>
      </c>
    </row>
    <row r="9">
      <c r="H9" s="18">
        <f>IF(A9="","",SUMIFS(Clases!$I:$I,Clases!$F:$F,A9,Clases!$J:$J,"&lt;&gt;Reprogramada"))</f>
        <v/>
      </c>
      <c r="I9" s="20">
        <f>IF(A9="","",SUMIFS(Clases!$N:$N,Clases!$F:$F,A9))</f>
        <v/>
      </c>
    </row>
    <row r="10">
      <c r="H10" s="18">
        <f>IF(A10="","",SUMIFS(Clases!$I:$I,Clases!$F:$F,A10,Clases!$J:$J,"&lt;&gt;Reprogramada"))</f>
        <v/>
      </c>
      <c r="I10" s="20">
        <f>IF(A10="","",SUMIFS(Clases!$N:$N,Clases!$F:$F,A10))</f>
        <v/>
      </c>
    </row>
    <row r="11">
      <c r="H11" s="18">
        <f>IF(A11="","",SUMIFS(Clases!$I:$I,Clases!$F:$F,A11,Clases!$J:$J,"&lt;&gt;Reprogramada"))</f>
        <v/>
      </c>
      <c r="I11" s="20">
        <f>IF(A11="","",SUMIFS(Clases!$N:$N,Clases!$F:$F,A11))</f>
        <v/>
      </c>
    </row>
    <row r="12">
      <c r="H12" s="18">
        <f>IF(A12="","",SUMIFS(Clases!$I:$I,Clases!$F:$F,A12,Clases!$J:$J,"&lt;&gt;Reprogramada"))</f>
        <v/>
      </c>
      <c r="I12" s="20">
        <f>IF(A12="","",SUMIFS(Clases!$N:$N,Clases!$F:$F,A12))</f>
        <v/>
      </c>
    </row>
    <row r="13">
      <c r="H13" s="18">
        <f>IF(A13="","",SUMIFS(Clases!$I:$I,Clases!$F:$F,A13,Clases!$J:$J,"&lt;&gt;Reprogramada"))</f>
        <v/>
      </c>
      <c r="I13" s="20">
        <f>IF(A13="","",SUMIFS(Clases!$N:$N,Clases!$F:$F,A13))</f>
        <v/>
      </c>
    </row>
    <row r="14">
      <c r="H14" s="18">
        <f>IF(A14="","",SUMIFS(Clases!$I:$I,Clases!$F:$F,A14,Clases!$J:$J,"&lt;&gt;Reprogramada"))</f>
        <v/>
      </c>
      <c r="I14" s="20">
        <f>IF(A14="","",SUMIFS(Clases!$N:$N,Clases!$F:$F,A14))</f>
        <v/>
      </c>
    </row>
    <row r="15">
      <c r="H15" s="18">
        <f>IF(A15="","",SUMIFS(Clases!$I:$I,Clases!$F:$F,A15,Clases!$J:$J,"&lt;&gt;Reprogramada"))</f>
        <v/>
      </c>
      <c r="I15" s="20">
        <f>IF(A15="","",SUMIFS(Clases!$N:$N,Clases!$F:$F,A15))</f>
        <v/>
      </c>
    </row>
    <row r="16">
      <c r="H16" s="18">
        <f>IF(A16="","",SUMIFS(Clases!$I:$I,Clases!$F:$F,A16,Clases!$J:$J,"&lt;&gt;Reprogramada"))</f>
        <v/>
      </c>
      <c r="I16" s="20">
        <f>IF(A16="","",SUMIFS(Clases!$N:$N,Clases!$F:$F,A16))</f>
        <v/>
      </c>
    </row>
    <row r="17">
      <c r="H17" s="18">
        <f>IF(A17="","",SUMIFS(Clases!$I:$I,Clases!$F:$F,A17,Clases!$J:$J,"&lt;&gt;Reprogramada"))</f>
        <v/>
      </c>
      <c r="I17" s="20">
        <f>IF(A17="","",SUMIFS(Clases!$N:$N,Clases!$F:$F,A17))</f>
        <v/>
      </c>
    </row>
    <row r="18">
      <c r="H18" s="18">
        <f>IF(A18="","",SUMIFS(Clases!$I:$I,Clases!$F:$F,A18,Clases!$J:$J,"&lt;&gt;Reprogramada"))</f>
        <v/>
      </c>
      <c r="I18" s="20">
        <f>IF(A18="","",SUMIFS(Clases!$N:$N,Clases!$F:$F,A18))</f>
        <v/>
      </c>
    </row>
    <row r="19">
      <c r="H19" s="18">
        <f>IF(A19="","",SUMIFS(Clases!$I:$I,Clases!$F:$F,A19,Clases!$J:$J,"&lt;&gt;Reprogramada"))</f>
        <v/>
      </c>
      <c r="I19" s="20">
        <f>IF(A19="","",SUMIFS(Clases!$N:$N,Clases!$F:$F,A19))</f>
        <v/>
      </c>
    </row>
    <row r="20">
      <c r="H20" s="18">
        <f>IF(A20="","",SUMIFS(Clases!$I:$I,Clases!$F:$F,A20,Clases!$J:$J,"&lt;&gt;Reprogramada"))</f>
        <v/>
      </c>
      <c r="I20" s="20">
        <f>IF(A20="","",SUMIFS(Clases!$N:$N,Clases!$F:$F,A20))</f>
        <v/>
      </c>
    </row>
    <row r="21">
      <c r="H21" s="18">
        <f>IF(A21="","",SUMIFS(Clases!$I:$I,Clases!$F:$F,A21,Clases!$J:$J,"&lt;&gt;Reprogramada"))</f>
        <v/>
      </c>
      <c r="I21" s="20">
        <f>IF(A21="","",SUMIFS(Clases!$N:$N,Clases!$F:$F,A21))</f>
        <v/>
      </c>
    </row>
    <row r="22">
      <c r="H22" s="18">
        <f>IF(A22="","",SUMIFS(Clases!$I:$I,Clases!$F:$F,A22,Clases!$J:$J,"&lt;&gt;Reprogramada"))</f>
        <v/>
      </c>
      <c r="I22" s="20">
        <f>IF(A22="","",SUMIFS(Clases!$N:$N,Clases!$F:$F,A22))</f>
        <v/>
      </c>
    </row>
    <row r="23">
      <c r="H23" s="18">
        <f>IF(A23="","",SUMIFS(Clases!$I:$I,Clases!$F:$F,A23,Clases!$J:$J,"&lt;&gt;Reprogramada"))</f>
        <v/>
      </c>
      <c r="I23" s="20">
        <f>IF(A23="","",SUMIFS(Clases!$N:$N,Clases!$F:$F,A23))</f>
        <v/>
      </c>
    </row>
    <row r="24">
      <c r="H24" s="18">
        <f>IF(A24="","",SUMIFS(Clases!$I:$I,Clases!$F:$F,A24,Clases!$J:$J,"&lt;&gt;Reprogramada"))</f>
        <v/>
      </c>
      <c r="I24" s="20">
        <f>IF(A24="","",SUMIFS(Clases!$N:$N,Clases!$F:$F,A24))</f>
        <v/>
      </c>
    </row>
    <row r="25">
      <c r="H25" s="18">
        <f>IF(A25="","",SUMIFS(Clases!$I:$I,Clases!$F:$F,A25,Clases!$J:$J,"&lt;&gt;Reprogramada"))</f>
        <v/>
      </c>
      <c r="I25" s="20">
        <f>IF(A25="","",SUMIFS(Clases!$N:$N,Clases!$F:$F,A25))</f>
        <v/>
      </c>
    </row>
    <row r="26">
      <c r="H26" s="18">
        <f>IF(A26="","",SUMIFS(Clases!$I:$I,Clases!$F:$F,A26,Clases!$J:$J,"&lt;&gt;Reprogramada"))</f>
        <v/>
      </c>
      <c r="I26" s="20">
        <f>IF(A26="","",SUMIFS(Clases!$N:$N,Clases!$F:$F,A26))</f>
        <v/>
      </c>
    </row>
    <row r="27">
      <c r="H27" s="18">
        <f>IF(A27="","",SUMIFS(Clases!$I:$I,Clases!$F:$F,A27,Clases!$J:$J,"&lt;&gt;Reprogramada"))</f>
        <v/>
      </c>
      <c r="I27" s="20">
        <f>IF(A27="","",SUMIFS(Clases!$N:$N,Clases!$F:$F,A27))</f>
        <v/>
      </c>
    </row>
    <row r="28">
      <c r="H28" s="18">
        <f>IF(A28="","",SUMIFS(Clases!$I:$I,Clases!$F:$F,A28,Clases!$J:$J,"&lt;&gt;Reprogramada"))</f>
        <v/>
      </c>
      <c r="I28" s="20">
        <f>IF(A28="","",SUMIFS(Clases!$N:$N,Clases!$F:$F,A28))</f>
        <v/>
      </c>
    </row>
    <row r="29">
      <c r="H29" s="18">
        <f>IF(A29="","",SUMIFS(Clases!$I:$I,Clases!$F:$F,A29,Clases!$J:$J,"&lt;&gt;Reprogramada"))</f>
        <v/>
      </c>
      <c r="I29" s="20">
        <f>IF(A29="","",SUMIFS(Clases!$N:$N,Clases!$F:$F,A29))</f>
        <v/>
      </c>
    </row>
    <row r="30">
      <c r="H30" s="18">
        <f>IF(A30="","",SUMIFS(Clases!$I:$I,Clases!$F:$F,A30,Clases!$J:$J,"&lt;&gt;Reprogramada"))</f>
        <v/>
      </c>
      <c r="I30" s="20">
        <f>IF(A30="","",SUMIFS(Clases!$N:$N,Clases!$F:$F,A30))</f>
        <v/>
      </c>
    </row>
    <row r="31">
      <c r="H31" s="18">
        <f>IF(A31="","",SUMIFS(Clases!$I:$I,Clases!$F:$F,A31,Clases!$J:$J,"&lt;&gt;Reprogramada"))</f>
        <v/>
      </c>
      <c r="I31" s="20">
        <f>IF(A31="","",SUMIFS(Clases!$N:$N,Clases!$F:$F,A31))</f>
        <v/>
      </c>
    </row>
    <row r="32">
      <c r="H32" s="18">
        <f>IF(A32="","",SUMIFS(Clases!$I:$I,Clases!$F:$F,A32,Clases!$J:$J,"&lt;&gt;Reprogramada"))</f>
        <v/>
      </c>
      <c r="I32" s="20">
        <f>IF(A32="","",SUMIFS(Clases!$N:$N,Clases!$F:$F,A32))</f>
        <v/>
      </c>
    </row>
    <row r="33">
      <c r="H33" s="18">
        <f>IF(A33="","",SUMIFS(Clases!$I:$I,Clases!$F:$F,A33,Clases!$J:$J,"&lt;&gt;Reprogramada"))</f>
        <v/>
      </c>
      <c r="I33" s="20">
        <f>IF(A33="","",SUMIFS(Clases!$N:$N,Clases!$F:$F,A33))</f>
        <v/>
      </c>
    </row>
    <row r="34">
      <c r="H34" s="18">
        <f>IF(A34="","",SUMIFS(Clases!$I:$I,Clases!$F:$F,A34,Clases!$J:$J,"&lt;&gt;Reprogramada"))</f>
        <v/>
      </c>
      <c r="I34" s="20">
        <f>IF(A34="","",SUMIFS(Clases!$N:$N,Clases!$F:$F,A34))</f>
        <v/>
      </c>
    </row>
    <row r="35">
      <c r="H35" s="18">
        <f>IF(A35="","",SUMIFS(Clases!$I:$I,Clases!$F:$F,A35,Clases!$J:$J,"&lt;&gt;Reprogramada"))</f>
        <v/>
      </c>
      <c r="I35" s="20">
        <f>IF(A35="","",SUMIFS(Clases!$N:$N,Clases!$F:$F,A35))</f>
        <v/>
      </c>
    </row>
    <row r="36">
      <c r="H36" s="18">
        <f>IF(A36="","",SUMIFS(Clases!$I:$I,Clases!$F:$F,A36,Clases!$J:$J,"&lt;&gt;Reprogramada"))</f>
        <v/>
      </c>
      <c r="I36" s="20">
        <f>IF(A36="","",SUMIFS(Clases!$N:$N,Clases!$F:$F,A36))</f>
        <v/>
      </c>
    </row>
    <row r="37">
      <c r="H37" s="18">
        <f>IF(A37="","",SUMIFS(Clases!$I:$I,Clases!$F:$F,A37,Clases!$J:$J,"&lt;&gt;Reprogramada"))</f>
        <v/>
      </c>
      <c r="I37" s="20">
        <f>IF(A37="","",SUMIFS(Clases!$N:$N,Clases!$F:$F,A37))</f>
        <v/>
      </c>
    </row>
    <row r="38">
      <c r="H38" s="18">
        <f>IF(A38="","",SUMIFS(Clases!$I:$I,Clases!$F:$F,A38,Clases!$J:$J,"&lt;&gt;Reprogramada"))</f>
        <v/>
      </c>
      <c r="I38" s="20">
        <f>IF(A38="","",SUMIFS(Clases!$N:$N,Clases!$F:$F,A38))</f>
        <v/>
      </c>
    </row>
    <row r="39">
      <c r="H39" s="18">
        <f>IF(A39="","",SUMIFS(Clases!$I:$I,Clases!$F:$F,A39,Clases!$J:$J,"&lt;&gt;Reprogramada"))</f>
        <v/>
      </c>
      <c r="I39" s="20">
        <f>IF(A39="","",SUMIFS(Clases!$N:$N,Clases!$F:$F,A39))</f>
        <v/>
      </c>
    </row>
    <row r="40">
      <c r="H40" s="18">
        <f>IF(A40="","",SUMIFS(Clases!$I:$I,Clases!$F:$F,A40,Clases!$J:$J,"&lt;&gt;Reprogramada"))</f>
        <v/>
      </c>
      <c r="I40" s="20">
        <f>IF(A40="","",SUMIFS(Clases!$N:$N,Clases!$F:$F,A40))</f>
        <v/>
      </c>
    </row>
    <row r="41">
      <c r="H41" s="18">
        <f>IF(A41="","",SUMIFS(Clases!$I:$I,Clases!$F:$F,A41,Clases!$J:$J,"&lt;&gt;Reprogramada"))</f>
        <v/>
      </c>
      <c r="I41" s="20">
        <f>IF(A41="","",SUMIFS(Clases!$N:$N,Clases!$F:$F,A41))</f>
        <v/>
      </c>
    </row>
    <row r="42">
      <c r="H42" s="18">
        <f>IF(A42="","",SUMIFS(Clases!$I:$I,Clases!$F:$F,A42,Clases!$J:$J,"&lt;&gt;Reprogramada"))</f>
        <v/>
      </c>
      <c r="I42" s="20">
        <f>IF(A42="","",SUMIFS(Clases!$N:$N,Clases!$F:$F,A42))</f>
        <v/>
      </c>
    </row>
    <row r="43">
      <c r="H43" s="18">
        <f>IF(A43="","",SUMIFS(Clases!$I:$I,Clases!$F:$F,A43,Clases!$J:$J,"&lt;&gt;Reprogramada"))</f>
        <v/>
      </c>
      <c r="I43" s="20">
        <f>IF(A43="","",SUMIFS(Clases!$N:$N,Clases!$F:$F,A43))</f>
        <v/>
      </c>
    </row>
    <row r="44">
      <c r="H44" s="18">
        <f>IF(A44="","",SUMIFS(Clases!$I:$I,Clases!$F:$F,A44,Clases!$J:$J,"&lt;&gt;Reprogramada"))</f>
        <v/>
      </c>
      <c r="I44" s="20">
        <f>IF(A44="","",SUMIFS(Clases!$N:$N,Clases!$F:$F,A44))</f>
        <v/>
      </c>
    </row>
    <row r="45">
      <c r="H45" s="18">
        <f>IF(A45="","",SUMIFS(Clases!$I:$I,Clases!$F:$F,A45,Clases!$J:$J,"&lt;&gt;Reprogramada"))</f>
        <v/>
      </c>
      <c r="I45" s="20">
        <f>IF(A45="","",SUMIFS(Clases!$N:$N,Clases!$F:$F,A45))</f>
        <v/>
      </c>
    </row>
    <row r="46">
      <c r="H46" s="18">
        <f>IF(A46="","",SUMIFS(Clases!$I:$I,Clases!$F:$F,A46,Clases!$J:$J,"&lt;&gt;Reprogramada"))</f>
        <v/>
      </c>
      <c r="I46" s="20">
        <f>IF(A46="","",SUMIFS(Clases!$N:$N,Clases!$F:$F,A46))</f>
        <v/>
      </c>
    </row>
    <row r="47">
      <c r="H47" s="18">
        <f>IF(A47="","",SUMIFS(Clases!$I:$I,Clases!$F:$F,A47,Clases!$J:$J,"&lt;&gt;Reprogramada"))</f>
        <v/>
      </c>
      <c r="I47" s="20">
        <f>IF(A47="","",SUMIFS(Clases!$N:$N,Clases!$F:$F,A47))</f>
        <v/>
      </c>
    </row>
    <row r="48">
      <c r="H48" s="18">
        <f>IF(A48="","",SUMIFS(Clases!$I:$I,Clases!$F:$F,A48,Clases!$J:$J,"&lt;&gt;Reprogramada"))</f>
        <v/>
      </c>
      <c r="I48" s="20">
        <f>IF(A48="","",SUMIFS(Clases!$N:$N,Clases!$F:$F,A48))</f>
        <v/>
      </c>
    </row>
    <row r="49">
      <c r="H49" s="18">
        <f>IF(A49="","",SUMIFS(Clases!$I:$I,Clases!$F:$F,A49,Clases!$J:$J,"&lt;&gt;Reprogramada"))</f>
        <v/>
      </c>
      <c r="I49" s="20">
        <f>IF(A49="","",SUMIFS(Clases!$N:$N,Clases!$F:$F,A49))</f>
        <v/>
      </c>
    </row>
    <row r="50">
      <c r="H50" s="18">
        <f>IF(A50="","",SUMIFS(Clases!$I:$I,Clases!$F:$F,A50,Clases!$J:$J,"&lt;&gt;Reprogramada"))</f>
        <v/>
      </c>
      <c r="I50" s="20">
        <f>IF(A50="","",SUMIFS(Clases!$N:$N,Clases!$F:$F,A50))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9C74F"/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8" customWidth="1" min="4" max="4"/>
    <col width="12" customWidth="1" min="5" max="5"/>
    <col width="12" customWidth="1" min="6" max="6"/>
    <col width="14" customWidth="1" min="7" max="7"/>
    <col width="10" customWidth="1" min="8" max="8"/>
    <col width="30" customWidth="1" min="9" max="9"/>
  </cols>
  <sheetData>
    <row r="1" ht="32" customHeight="1">
      <c r="A1" s="17" t="inlineStr">
        <is>
          <t>Código</t>
        </is>
      </c>
      <c r="B1" s="17" t="inlineStr">
        <is>
          <t>Nivel</t>
        </is>
      </c>
      <c r="C1" s="17" t="inlineStr">
        <is>
          <t>Producto</t>
        </is>
      </c>
      <c r="D1" s="17" t="inlineStr">
        <is>
          <t>Horas</t>
        </is>
      </c>
      <c r="E1" s="17" t="inlineStr">
        <is>
          <t>Precio (S/)</t>
        </is>
      </c>
      <c r="F1" s="16" t="inlineStr">
        <is>
          <t>S/ por hora</t>
        </is>
      </c>
      <c r="G1" s="17" t="inlineStr">
        <is>
          <t>Pago tutor por hora (S/)</t>
        </is>
      </c>
      <c r="H1" s="16" t="inlineStr">
        <is>
          <t>Margen %</t>
        </is>
      </c>
      <c r="I1" s="17" t="inlineStr">
        <is>
          <t>Estado del precio</t>
        </is>
      </c>
    </row>
    <row r="2">
      <c r="A2" t="inlineStr">
        <is>
          <t>ESC-1</t>
        </is>
      </c>
      <c r="B2" t="inlineStr">
        <is>
          <t>Escolar</t>
        </is>
      </c>
      <c r="C2" t="inlineStr">
        <is>
          <t>Hora suelta</t>
        </is>
      </c>
      <c r="D2" t="n">
        <v>1</v>
      </c>
      <c r="E2" s="14" t="n">
        <v>40</v>
      </c>
      <c r="F2" s="25">
        <f>IFERROR(E2/D2,"")</f>
        <v/>
      </c>
      <c r="G2" t="n">
        <v>20</v>
      </c>
      <c r="H2" s="24">
        <f>IFERROR((F2-G2)/F2,"")</f>
        <v/>
      </c>
      <c r="I2" t="inlineStr">
        <is>
          <t>Propuesta: edítalo al aprobar precios</t>
        </is>
      </c>
    </row>
    <row r="3">
      <c r="A3" t="inlineStr">
        <is>
          <t>ESC-8</t>
        </is>
      </c>
      <c r="B3" t="inlineStr">
        <is>
          <t>Escolar</t>
        </is>
      </c>
      <c r="C3" t="inlineStr">
        <is>
          <t>Pack 8 h (1 mes, 2 h/sem)</t>
        </is>
      </c>
      <c r="D3" t="n">
        <v>8</v>
      </c>
      <c r="E3" s="14" t="n">
        <v>280</v>
      </c>
      <c r="F3" s="25">
        <f>IFERROR(E3/D3,"")</f>
        <v/>
      </c>
      <c r="G3" t="n">
        <v>20</v>
      </c>
      <c r="H3" s="24">
        <f>IFERROR((F3-G3)/F3,"")</f>
        <v/>
      </c>
      <c r="I3" t="inlineStr">
        <is>
          <t>Propuesta: edítalo al aprobar precios</t>
        </is>
      </c>
    </row>
    <row r="4">
      <c r="A4" t="inlineStr">
        <is>
          <t>ESC-16</t>
        </is>
      </c>
      <c r="B4" t="inlineStr">
        <is>
          <t>Escolar</t>
        </is>
      </c>
      <c r="C4" t="inlineStr">
        <is>
          <t>Pack 16 h (1 mes, 4 h/sem)</t>
        </is>
      </c>
      <c r="D4" t="n">
        <v>16</v>
      </c>
      <c r="E4" s="14" t="n">
        <v>512</v>
      </c>
      <c r="F4" s="25">
        <f>IFERROR(E4/D4,"")</f>
        <v/>
      </c>
      <c r="G4" t="n">
        <v>20</v>
      </c>
      <c r="H4" s="24">
        <f>IFERROR((F4-G4)/F4,"")</f>
        <v/>
      </c>
      <c r="I4" t="inlineStr">
        <is>
          <t>Propuesta: edítalo al aprobar precios</t>
        </is>
      </c>
    </row>
    <row r="5">
      <c r="A5" t="inlineStr">
        <is>
          <t>PRE-1</t>
        </is>
      </c>
      <c r="B5" t="inlineStr">
        <is>
          <t>Preuniversitario</t>
        </is>
      </c>
      <c r="C5" t="inlineStr">
        <is>
          <t>Hora suelta</t>
        </is>
      </c>
      <c r="D5" t="n">
        <v>1</v>
      </c>
      <c r="E5" s="14" t="n">
        <v>50</v>
      </c>
      <c r="F5" s="25">
        <f>IFERROR(E5/D5,"")</f>
        <v/>
      </c>
      <c r="G5" t="n">
        <v>25</v>
      </c>
      <c r="H5" s="24">
        <f>IFERROR((F5-G5)/F5,"")</f>
        <v/>
      </c>
      <c r="I5" t="inlineStr">
        <is>
          <t>Propuesta: edítalo al aprobar precios</t>
        </is>
      </c>
    </row>
    <row r="6">
      <c r="A6" t="inlineStr">
        <is>
          <t>PRE-12</t>
        </is>
      </c>
      <c r="B6" t="inlineStr">
        <is>
          <t>Preuniversitario</t>
        </is>
      </c>
      <c r="C6" t="inlineStr">
        <is>
          <t>Pack 12 h</t>
        </is>
      </c>
      <c r="D6" t="n">
        <v>12</v>
      </c>
      <c r="E6" s="14" t="n">
        <v>540</v>
      </c>
      <c r="F6" s="25">
        <f>IFERROR(E6/D6,"")</f>
        <v/>
      </c>
      <c r="G6" t="n">
        <v>25</v>
      </c>
      <c r="H6" s="24">
        <f>IFERROR((F6-G6)/F6,"")</f>
        <v/>
      </c>
      <c r="I6" t="inlineStr">
        <is>
          <t>Propuesta: edítalo al aprobar precios</t>
        </is>
      </c>
    </row>
    <row r="7">
      <c r="A7" t="inlineStr">
        <is>
          <t>PRE-24</t>
        </is>
      </c>
      <c r="B7" t="inlineStr">
        <is>
          <t>Preuniversitario</t>
        </is>
      </c>
      <c r="C7" t="inlineStr">
        <is>
          <t>Programa mensual 24 h</t>
        </is>
      </c>
      <c r="D7" t="n">
        <v>24</v>
      </c>
      <c r="E7" s="14" t="n">
        <v>960</v>
      </c>
      <c r="F7" s="25">
        <f>IFERROR(E7/D7,"")</f>
        <v/>
      </c>
      <c r="G7" t="n">
        <v>25</v>
      </c>
      <c r="H7" s="24">
        <f>IFERROR((F7-G7)/F7,"")</f>
        <v/>
      </c>
      <c r="I7" t="inlineStr">
        <is>
          <t>Propuesta: edítalo al aprobar precios</t>
        </is>
      </c>
    </row>
    <row r="8">
      <c r="A8" t="inlineStr">
        <is>
          <t>UNI-1</t>
        </is>
      </c>
      <c r="B8" t="inlineStr">
        <is>
          <t>Universitario</t>
        </is>
      </c>
      <c r="C8" t="inlineStr">
        <is>
          <t>Hora suelta</t>
        </is>
      </c>
      <c r="D8" t="n">
        <v>1</v>
      </c>
      <c r="E8" s="14" t="n">
        <v>60</v>
      </c>
      <c r="F8" s="25">
        <f>IFERROR(E8/D8,"")</f>
        <v/>
      </c>
      <c r="G8" t="n">
        <v>30</v>
      </c>
      <c r="H8" s="24">
        <f>IFERROR((F8-G8)/F8,"")</f>
        <v/>
      </c>
      <c r="I8" t="inlineStr">
        <is>
          <t>Propuesta: edítalo al aprobar precios</t>
        </is>
      </c>
    </row>
    <row r="9">
      <c r="A9" t="inlineStr">
        <is>
          <t>UNI-PC</t>
        </is>
      </c>
      <c r="B9" t="inlineStr">
        <is>
          <t>Universitario</t>
        </is>
      </c>
      <c r="C9" t="inlineStr">
        <is>
          <t>Práctica (4 h)</t>
        </is>
      </c>
      <c r="D9" t="n">
        <v>4</v>
      </c>
      <c r="E9" s="14" t="n">
        <v>220</v>
      </c>
      <c r="F9" s="25">
        <f>IFERROR(E9/D9,"")</f>
        <v/>
      </c>
      <c r="G9" t="n">
        <v>30</v>
      </c>
      <c r="H9" s="24">
        <f>IFERROR((F9-G9)/F9,"")</f>
        <v/>
      </c>
      <c r="I9" t="inlineStr">
        <is>
          <t>Propuesta: edítalo al aprobar precios</t>
        </is>
      </c>
    </row>
    <row r="10">
      <c r="A10" t="inlineStr">
        <is>
          <t>UNI-EX</t>
        </is>
      </c>
      <c r="B10" t="inlineStr">
        <is>
          <t>Universitario</t>
        </is>
      </c>
      <c r="C10" t="inlineStr">
        <is>
          <t>Examen (8 h)</t>
        </is>
      </c>
      <c r="D10" t="n">
        <v>8</v>
      </c>
      <c r="E10" s="14" t="n">
        <v>400</v>
      </c>
      <c r="F10" s="25">
        <f>IFERROR(E10/D10,"")</f>
        <v/>
      </c>
      <c r="G10" t="n">
        <v>30</v>
      </c>
      <c r="H10" s="24">
        <f>IFERROR((F10-G10)/F10,"")</f>
        <v/>
      </c>
      <c r="I10" t="inlineStr">
        <is>
          <t>Propuesta: edítalo al aprobar precios</t>
        </is>
      </c>
    </row>
    <row r="11">
      <c r="A11" t="inlineStr">
        <is>
          <t>UNI-MC</t>
        </is>
      </c>
      <c r="B11" t="inlineStr">
        <is>
          <t>Universitario</t>
        </is>
      </c>
      <c r="C11" t="inlineStr">
        <is>
          <t>Medio ciclo (2 EP + 1 EX)</t>
        </is>
      </c>
      <c r="D11" t="n">
        <v>16</v>
      </c>
      <c r="E11" s="14" t="n">
        <v>760</v>
      </c>
      <c r="F11" s="25">
        <f>IFERROR(E11/D11,"")</f>
        <v/>
      </c>
      <c r="G11" t="n">
        <v>30</v>
      </c>
      <c r="H11" s="24">
        <f>IFERROR((F11-G11)/F11,"")</f>
        <v/>
      </c>
      <c r="I11" t="inlineStr">
        <is>
          <t>Propuesta: edítalo al aprobar precios</t>
        </is>
      </c>
    </row>
    <row r="12">
      <c r="A12" t="inlineStr">
        <is>
          <t>UNI-CC</t>
        </is>
      </c>
      <c r="B12" t="inlineStr">
        <is>
          <t>Universitario</t>
        </is>
      </c>
      <c r="C12" t="inlineStr">
        <is>
          <t>Ciclo completo (4 EP + 2 EX)</t>
        </is>
      </c>
      <c r="D12" t="n">
        <v>32</v>
      </c>
      <c r="E12" s="14" t="n">
        <v>1440</v>
      </c>
      <c r="F12" s="25">
        <f>IFERROR(E12/D12,"")</f>
        <v/>
      </c>
      <c r="G12" t="n">
        <v>30</v>
      </c>
      <c r="H12" s="24">
        <f>IFERROR((F12-G12)/F12,"")</f>
        <v/>
      </c>
      <c r="I12" t="inlineStr">
        <is>
          <t>Propuesta: edítalo al aprobar precios</t>
        </is>
      </c>
    </row>
    <row r="13">
      <c r="A13" t="inlineStr">
        <is>
          <t>TALLER</t>
        </is>
      </c>
      <c r="B13" t="inlineStr">
        <is>
          <t>Universitario</t>
        </is>
      </c>
      <c r="C13" t="inlineStr">
        <is>
          <t>Taller intensivo pre-examen (por alumno)</t>
        </is>
      </c>
      <c r="D13" t="n">
        <v>3</v>
      </c>
      <c r="E13" s="14" t="n">
        <v>49</v>
      </c>
      <c r="F13" s="25">
        <f>IFERROR(E13/D13,"")</f>
        <v/>
      </c>
      <c r="G13" t="n">
        <v>30</v>
      </c>
      <c r="H13" s="24">
        <f>IFERROR((F13-G13)/F13,"")</f>
        <v/>
      </c>
      <c r="I13" t="inlineStr">
        <is>
          <t>Propuesta: edítalo al aprobar precios</t>
        </is>
      </c>
    </row>
    <row r="14">
      <c r="A14" t="inlineStr">
        <is>
          <t>DIAG</t>
        </is>
      </c>
      <c r="B14" t="inlineStr">
        <is>
          <t>Preuniversitario</t>
        </is>
      </c>
      <c r="C14" t="inlineStr">
        <is>
          <t>Clase diagnóstica gratis (45 min)</t>
        </is>
      </c>
      <c r="D14" t="n">
        <v>0.75</v>
      </c>
      <c r="E14" s="14" t="n">
        <v>0</v>
      </c>
      <c r="F14" s="25">
        <f>IFERROR(E14/D14,"")</f>
        <v/>
      </c>
      <c r="G14" t="n">
        <v>0</v>
      </c>
      <c r="H14" s="24">
        <f>IFERROR((F14-G14)/F14,"")</f>
        <v/>
      </c>
      <c r="I14" t="inlineStr">
        <is>
          <t>Propuesta: edítalo al aprobar precios</t>
        </is>
      </c>
    </row>
    <row r="15">
      <c r="E15" s="14" t="n"/>
    </row>
    <row r="16">
      <c r="E16" s="14" t="n"/>
    </row>
    <row r="17">
      <c r="E17" s="14" t="n"/>
    </row>
    <row r="18">
      <c r="E18" s="14" t="n"/>
    </row>
    <row r="19">
      <c r="E19" s="14" t="n"/>
    </row>
    <row r="20">
      <c r="E20" s="14" t="n"/>
    </row>
    <row r="21">
      <c r="E21" s="14" t="n"/>
    </row>
    <row r="22">
      <c r="E22" s="14" t="n"/>
    </row>
    <row r="23">
      <c r="E23" s="14" t="n"/>
    </row>
    <row r="24">
      <c r="E24" s="14" t="n"/>
    </row>
    <row r="25">
      <c r="E25" s="14" t="n"/>
    </row>
    <row r="26">
      <c r="E26" s="14" t="n"/>
    </row>
    <row r="27">
      <c r="E27" s="14" t="n"/>
    </row>
    <row r="28">
      <c r="E28" s="14" t="n"/>
    </row>
    <row r="29">
      <c r="E29" s="14" t="n"/>
    </row>
    <row r="30">
      <c r="E30" s="14" t="n"/>
    </row>
    <row r="31">
      <c r="E31" s="14" t="n"/>
    </row>
    <row r="32">
      <c r="E32" s="14" t="n"/>
    </row>
    <row r="33">
      <c r="E33" s="14" t="n"/>
    </row>
    <row r="34">
      <c r="E34" s="14" t="n"/>
    </row>
    <row r="35">
      <c r="E35" s="14" t="n"/>
    </row>
    <row r="36">
      <c r="E36" s="14" t="n"/>
    </row>
    <row r="37">
      <c r="E37" s="14" t="n"/>
    </row>
    <row r="38">
      <c r="E38" s="14" t="n"/>
    </row>
    <row r="39">
      <c r="E39" s="14" t="n"/>
    </row>
    <row r="40">
      <c r="E40" s="14" t="n"/>
    </row>
    <row r="41">
      <c r="E41" s="14" t="n"/>
    </row>
    <row r="42">
      <c r="E42" s="14" t="n"/>
    </row>
    <row r="43">
      <c r="E43" s="14" t="n"/>
    </row>
    <row r="44">
      <c r="E44" s="14" t="n"/>
    </row>
    <row r="45">
      <c r="E45" s="14" t="n"/>
    </row>
    <row r="46">
      <c r="E46" s="14" t="n"/>
    </row>
    <row r="47">
      <c r="E47" s="14" t="n"/>
    </row>
    <row r="48">
      <c r="E48" s="14" t="n"/>
    </row>
    <row r="49">
      <c r="E49" s="14" t="n"/>
    </row>
    <row r="50">
      <c r="E50" s="14" t="n"/>
    </row>
    <row r="51">
      <c r="E51" s="14" t="n"/>
    </row>
    <row r="52">
      <c r="E52" s="14" t="n"/>
    </row>
    <row r="53">
      <c r="E53" s="14" t="n"/>
    </row>
    <row r="54">
      <c r="E54" s="14" t="n"/>
    </row>
    <row r="55">
      <c r="E55" s="14" t="n"/>
    </row>
    <row r="56">
      <c r="E56" s="14" t="n"/>
    </row>
    <row r="57">
      <c r="E57" s="14" t="n"/>
    </row>
    <row r="58">
      <c r="E58" s="14" t="n"/>
    </row>
    <row r="59">
      <c r="E59" s="14" t="n"/>
    </row>
    <row r="60">
      <c r="E60" s="14" t="n"/>
    </row>
  </sheetData>
  <dataValidations count="1">
    <dataValidation sqref="B2:B60" showDropDown="0" showInputMessage="0" showErrorMessage="0" allowBlank="1" type="list">
      <formula1>Listas!$A$2:$A$4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999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6" t="inlineStr">
        <is>
          <t>Nivel</t>
        </is>
      </c>
      <c r="B1" s="26" t="inlineStr">
        <is>
          <t>Universidad</t>
        </is>
      </c>
      <c r="C1" s="26" t="inlineStr">
        <is>
          <t>Canal</t>
        </is>
      </c>
      <c r="D1" s="26" t="inlineStr">
        <is>
          <t>EstadoLead</t>
        </is>
      </c>
      <c r="E1" s="26" t="inlineStr">
        <is>
          <t>Modalidad</t>
        </is>
      </c>
      <c r="F1" s="26" t="inlineStr">
        <is>
          <t>MedioPago</t>
        </is>
      </c>
      <c r="G1" s="26" t="inlineStr">
        <is>
          <t>EstadoAlumno</t>
        </is>
      </c>
      <c r="H1" s="26" t="inlineStr">
        <is>
          <t>Asistencia</t>
        </is>
      </c>
      <c r="I1" s="26" t="inlineStr">
        <is>
          <t>Campaña</t>
        </is>
      </c>
    </row>
    <row r="2">
      <c r="A2" t="inlineStr">
        <is>
          <t>Escolar</t>
        </is>
      </c>
      <c r="B2" t="inlineStr">
        <is>
          <t>PUCP</t>
        </is>
      </c>
      <c r="C2" t="inlineStr">
        <is>
          <t>Instagram</t>
        </is>
      </c>
      <c r="D2" t="inlineStr">
        <is>
          <t>Nuevo</t>
        </is>
      </c>
      <c r="E2" t="inlineStr">
        <is>
          <t>Virtual</t>
        </is>
      </c>
      <c r="F2" t="inlineStr">
        <is>
          <t>Yape</t>
        </is>
      </c>
      <c r="G2" t="inlineStr">
        <is>
          <t>Activo</t>
        </is>
      </c>
      <c r="H2" t="inlineStr">
        <is>
          <t>Asistió</t>
        </is>
      </c>
      <c r="I2" t="inlineStr">
        <is>
          <t>SPRINT-ULIMA</t>
        </is>
      </c>
    </row>
    <row r="3">
      <c r="A3" t="inlineStr">
        <is>
          <t>Preuniversitario</t>
        </is>
      </c>
      <c r="B3" t="inlineStr">
        <is>
          <t>ULIMA</t>
        </is>
      </c>
      <c r="C3" t="inlineStr">
        <is>
          <t>Facebook</t>
        </is>
      </c>
      <c r="D3" t="inlineStr">
        <is>
          <t>Contactado</t>
        </is>
      </c>
      <c r="E3" t="inlineStr">
        <is>
          <t>Presencial</t>
        </is>
      </c>
      <c r="F3" t="inlineStr">
        <is>
          <t>Plin</t>
        </is>
      </c>
      <c r="G3" t="inlineStr">
        <is>
          <t>Pausado</t>
        </is>
      </c>
      <c r="H3" t="inlineStr">
        <is>
          <t>Faltó (se descuenta)</t>
        </is>
      </c>
      <c r="I3" t="inlineStr">
        <is>
          <t>SPRINT-PUCP</t>
        </is>
      </c>
    </row>
    <row r="4">
      <c r="A4" t="inlineStr">
        <is>
          <t>Universitario</t>
        </is>
      </c>
      <c r="B4" t="inlineStr">
        <is>
          <t>UPC</t>
        </is>
      </c>
      <c r="C4" t="inlineStr">
        <is>
          <t>TikTok</t>
        </is>
      </c>
      <c r="D4" t="inlineStr">
        <is>
          <t>Diagnóstico agendado</t>
        </is>
      </c>
      <c r="E4" t="inlineStr">
        <is>
          <t>A domicilio</t>
        </is>
      </c>
      <c r="F4" t="inlineStr">
        <is>
          <t>BCP</t>
        </is>
      </c>
      <c r="G4" t="inlineStr">
        <is>
          <t>Terminó</t>
        </is>
      </c>
      <c r="H4" t="inlineStr">
        <is>
          <t>Reprogramada</t>
        </is>
      </c>
      <c r="I4" t="inlineStr">
        <is>
          <t>REFUERZO-CEPU</t>
        </is>
      </c>
    </row>
    <row r="5">
      <c r="B5" t="inlineStr">
        <is>
          <t>UPCH</t>
        </is>
      </c>
      <c r="C5" t="inlineStr">
        <is>
          <t>WhatsApp</t>
        </is>
      </c>
      <c r="D5" t="inlineStr">
        <is>
          <t>Diagnóstico hecho</t>
        </is>
      </c>
      <c r="F5" t="inlineStr">
        <is>
          <t>BBVA</t>
        </is>
      </c>
      <c r="G5" t="inlineStr">
        <is>
          <t>Ingresó</t>
        </is>
      </c>
      <c r="I5" t="inlineStr">
        <is>
          <t>MEDICINA-UPCH</t>
        </is>
      </c>
    </row>
    <row r="6">
      <c r="B6" t="inlineStr">
        <is>
          <t>Otra</t>
        </is>
      </c>
      <c r="C6" t="inlineStr">
        <is>
          <t>Web</t>
        </is>
      </c>
      <c r="D6" t="inlineStr">
        <is>
          <t>Propuesta enviada</t>
        </is>
      </c>
      <c r="F6" t="inlineStr">
        <is>
          <t>Interbank</t>
        </is>
      </c>
      <c r="I6" t="inlineStr">
        <is>
          <t>VERANO-PUCP</t>
        </is>
      </c>
    </row>
    <row r="7">
      <c r="B7" t="inlineStr">
        <is>
          <t>No aplica</t>
        </is>
      </c>
      <c r="C7" t="inlineStr">
        <is>
          <t>Referido</t>
        </is>
      </c>
      <c r="D7" t="inlineStr">
        <is>
          <t>Inscrito</t>
        </is>
      </c>
      <c r="F7" t="inlineStr">
        <is>
          <t>Scotiabank</t>
        </is>
      </c>
      <c r="I7" t="inlineStr">
        <is>
          <t>VERANO-ULIMA</t>
        </is>
      </c>
    </row>
    <row r="8">
      <c r="C8" t="inlineStr">
        <is>
          <t>Colegio</t>
        </is>
      </c>
      <c r="D8" t="inlineStr">
        <is>
          <t>Perdido</t>
        </is>
      </c>
      <c r="F8" t="inlineStr">
        <is>
          <t>Efectivo</t>
        </is>
      </c>
      <c r="I8" t="inlineStr">
        <is>
          <t>CACHIMBOS</t>
        </is>
      </c>
    </row>
    <row r="9">
      <c r="C9" t="inlineStr">
        <is>
          <t>Otro</t>
        </is>
      </c>
      <c r="I9" t="inlineStr">
        <is>
          <t>REFERIDOS</t>
        </is>
      </c>
    </row>
    <row r="10">
      <c r="I10" t="inlineStr">
        <is>
          <t>ORGANICO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2026-10-13T18:29:41Z</dcterms:created>
  <dcterms:modified xmlns:dcterms="http://purl.org/dc/terms/" xmlns:xsi="http://www.w3.org/2001/XMLSchema-instance" xsi:type="dcterms:W3CDTF">2026-10-13T18:29:41Z</dcterms:modified>
</cp:coreProperties>
</file>