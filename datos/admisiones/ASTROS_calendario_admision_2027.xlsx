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echas_admision" sheetId="2" state="visible" r:id="rId2"/>
    <sheet xmlns:r="http://schemas.openxmlformats.org/officeDocument/2006/relationships" name="Cronograma" sheetId="3" state="visible" r:id="rId3"/>
    <sheet xmlns:r="http://schemas.openxmlformats.org/officeDocument/2006/relationships" name="M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b val="1"/>
      <color rgb="000B1A3A"/>
      <sz val="18"/>
    </font>
    <font>
      <i val="1"/>
      <color rgb="00555555"/>
    </font>
    <font>
      <b val="1"/>
      <color rgb="001FA7A8"/>
      <sz val="13"/>
    </font>
    <font>
      <b val="1"/>
      <color rgb="000B1A3A"/>
    </font>
    <font>
      <b val="1"/>
    </font>
    <font>
      <b val="1"/>
      <color rgb="00888888"/>
    </font>
    <font>
      <color rgb="001155CC"/>
      <u val="single"/>
    </font>
    <font>
      <b val="1"/>
      <color rgb="000A7D3B"/>
    </font>
    <font>
      <b val="1"/>
      <color rgb="00D7263D"/>
    </font>
    <font>
      <color rgb="00D726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9" fontId="0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echas" displayName="Fechas" ref="A1:L33" headerRowCount="1">
  <autoFilter ref="A1:L33"/>
  <tableColumns count="12">
    <tableColumn id="1" name="Universidad"/>
    <tableColumn id="2" name="Periodo"/>
    <tableColumn id="3" name="Grupo"/>
    <tableColumn id="4" name="Modalidad"/>
    <tableColumn id="5" name="Público objetivo"/>
    <tableColumn id="6" name="Cierre inscripción"/>
    <tableColumn id="7" name="Examen / evaluación"/>
    <tableColumn id="8" name="Resultados / entrevista"/>
    <tableColumn id="9" name="Estado"/>
    <tableColumn id="10" name="Confianza del dato"/>
    <tableColumn id="11" name="Fuente"/>
    <tableColumn id="12" name="Nota para ASTROS"/>
  </tableColumns>
  <tableStyleInfo name="TableStyleMedium2" showRowStripes="1"/>
</table>
</file>

<file path=xl/tables/table2.xml><?xml version="1.0" encoding="utf-8"?>
<table xmlns="http://schemas.openxmlformats.org/spreadsheetml/2006/main" id="2" name="Cronograma" displayName="Cronograma" ref="A1:J27" headerRowCount="1">
  <autoFilter ref="A1:J27"/>
  <tableColumns count="10">
    <tableColumn id="1" name="Mes"/>
    <tableColumn id="2" name="Semana / fecha límite"/>
    <tableColumn id="3" name="Universidad"/>
    <tableColumn id="4" name="Objetivo"/>
    <tableColumn id="5" name="Acción de prospección"/>
    <tableColumn id="6" name="Canal"/>
    <tableColumn id="7" name="Público"/>
    <tableColumn id="8" name="Meta (KPI)"/>
    <tableColumn id="9" name="Responsable"/>
    <tableColumn id="10" name="Estado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mision.pucp.edu.pe/guia-del-postulante" TargetMode="External" Id="rId1"/><Relationship Type="http://schemas.openxmlformats.org/officeDocument/2006/relationships/hyperlink" Target="https://admision.pucp.edu.pe/guia-del-postulante/modalidades-de-admision/admision-por-rendimiento-superior" TargetMode="External" Id="rId2"/><Relationship Type="http://schemas.openxmlformats.org/officeDocument/2006/relationships/hyperlink" Target="https://admision.pucp.edu.pe/guia-del-postulante/modalidades-de-admision/carrera-de-arquitectura" TargetMode="External" Id="rId3"/><Relationship Type="http://schemas.openxmlformats.org/officeDocument/2006/relationships/hyperlink" Target="https://admision.pucp.edu.pe/guia-del-postulante" TargetMode="External" Id="rId4"/><Relationship Type="http://schemas.openxmlformats.org/officeDocument/2006/relationships/hyperlink" Target="https://admision.pucp.edu.pe/guia-del-postulante/modalidades-de-admision/admision-por-rendimiento-superior" TargetMode="External" Id="rId5"/><Relationship Type="http://schemas.openxmlformats.org/officeDocument/2006/relationships/hyperlink" Target="https://admision.pucp.edu.pe/guia-del-postulante/modalidades-de-admision/la-primera-opcion" TargetMode="External" Id="rId6"/><Relationship Type="http://schemas.openxmlformats.org/officeDocument/2006/relationships/hyperlink" Target="https://admision.pucp.edu.pe/guia-del-postulante/modalidades-de-admision/evaluacion-del-talento-r" TargetMode="External" Id="rId7"/><Relationship Type="http://schemas.openxmlformats.org/officeDocument/2006/relationships/hyperlink" Target="https://admision.pucp.edu.pe/guia-del-postulante/modalidades-de-admision/carrera-de-arquitectura" TargetMode="External" Id="rId8"/><Relationship Type="http://schemas.openxmlformats.org/officeDocument/2006/relationships/hyperlink" Target="https://admision.pucp.edu.pe/guia-del-postulante" TargetMode="External" Id="rId9"/><Relationship Type="http://schemas.openxmlformats.org/officeDocument/2006/relationships/hyperlink" Target="https://admision.pucp.edu.pe/guia-del-postulante" TargetMode="External" Id="rId10"/><Relationship Type="http://schemas.openxmlformats.org/officeDocument/2006/relationships/hyperlink" Target="https://admision.pucp.edu.pe/guia-del-postulante" TargetMode="External" Id="rId11"/><Relationship Type="http://schemas.openxmlformats.org/officeDocument/2006/relationships/hyperlink" Target="https://www.ulima.edu.pe/rendimiento-academico" TargetMode="External" Id="rId12"/><Relationship Type="http://schemas.openxmlformats.org/officeDocument/2006/relationships/hyperlink" Target="https://www.ulima.edu.pe/escolares" TargetMode="External" Id="rId13"/><Relationship Type="http://schemas.openxmlformats.org/officeDocument/2006/relationships/hyperlink" Target="https://www.academialameta.com/ulima-admision-egresados/" TargetMode="External" Id="rId14"/><Relationship Type="http://schemas.openxmlformats.org/officeDocument/2006/relationships/hyperlink" Target="https://www.ulima.edu.pe/examen-de-admision" TargetMode="External" Id="rId15"/><Relationship Type="http://schemas.openxmlformats.org/officeDocument/2006/relationships/hyperlink" Target="https://www.ulima.edu.pe/examen-de-admision" TargetMode="External" Id="rId16"/><Relationship Type="http://schemas.openxmlformats.org/officeDocument/2006/relationships/hyperlink" Target="https://descubre.upc.edu.pe/se-parte-de-upc/proceso-de-admision-upc" TargetMode="External" Id="rId17"/><Relationship Type="http://schemas.openxmlformats.org/officeDocument/2006/relationships/hyperlink" Target="https://descubre.upc.edu.pe/se-parte-de-upc/proceso-de-admision-upc" TargetMode="External" Id="rId18"/><Relationship Type="http://schemas.openxmlformats.org/officeDocument/2006/relationships/hyperlink" Target="https://www.upc.edu.pe/admision/cronograma-de-admision/" TargetMode="External" Id="rId19"/><Relationship Type="http://schemas.openxmlformats.org/officeDocument/2006/relationships/hyperlink" Target="https://www.upc.edu.pe/admision/cronograma-de-admision/" TargetMode="External" Id="rId20"/><Relationship Type="http://schemas.openxmlformats.org/officeDocument/2006/relationships/hyperlink" Target="https://www.upc.edu.pe/admision/cronograma-de-admision/" TargetMode="External" Id="rId21"/><Relationship Type="http://schemas.openxmlformats.org/officeDocument/2006/relationships/hyperlink" Target="https://cayetano.edu.pe/admision/cronograma-y-modalidades/" TargetMode="External" Id="rId22"/><Relationship Type="http://schemas.openxmlformats.org/officeDocument/2006/relationships/hyperlink" Target="https://cayetano.edu.pe/admision/cronograma-y-modalidades/" TargetMode="External" Id="rId23"/><Relationship Type="http://schemas.openxmlformats.org/officeDocument/2006/relationships/hyperlink" Target="https://cayetano.edu.pe/admision/cronograma-y-modalidades/" TargetMode="External" Id="rId24"/><Relationship Type="http://schemas.openxmlformats.org/officeDocument/2006/relationships/hyperlink" Target="https://cayetano.edu.pe/admision/cronograma-y-modalidades/" TargetMode="External" Id="rId25"/><Relationship Type="http://schemas.openxmlformats.org/officeDocument/2006/relationships/hyperlink" Target="https://cayetano.edu.pe/admision/cronograma-y-modalidades/" TargetMode="External" Id="rId26"/><Relationship Type="http://schemas.openxmlformats.org/officeDocument/2006/relationships/hyperlink" Target="https://cayetano.edu.pe/admision/cronograma-y-modalidades/" TargetMode="External" Id="rId27"/><Relationship Type="http://schemas.openxmlformats.org/officeDocument/2006/relationships/hyperlink" Target="https://cayetano.edu.pe/admision/cronograma-y-modalidades/" TargetMode="External" Id="rId28"/><Relationship Type="http://schemas.openxmlformats.org/officeDocument/2006/relationships/hyperlink" Target="https://cayetano.edu.pe/admision/cronograma-y-modalidades/" TargetMode="External" Id="rId29"/><Relationship Type="http://schemas.openxmlformats.org/officeDocument/2006/relationships/hyperlink" Target="https://cayetano.edu.pe/admision/cronograma-y-modalidades/" TargetMode="External" Id="rId30"/><Relationship Type="http://schemas.openxmlformats.org/officeDocument/2006/relationships/hyperlink" Target="https://cayetano.edu.pe/admision/cronograma-y-modalidades/" TargetMode="External" Id="rId31"/><Relationship Type="http://schemas.openxmlformats.org/officeDocument/2006/relationships/hyperlink" Target="https://cayetano.edu.pe/admision/cronograma-y-modalidades/" TargetMode="External" Id="rId32"/><Relationship Type="http://schemas.openxmlformats.org/officeDocument/2006/relationships/table" Target="/xl/tables/table1.xml" Id="rId3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>
      <c r="B2" s="1" t="inlineStr">
        <is>
          <t>ASTROS · Calendario de admisión y prospección</t>
        </is>
      </c>
    </row>
    <row r="3">
      <c r="B3" s="2" t="inlineStr">
        <is>
          <t>Actualizado al 13/10/2026 · Universidades objetivo: PUCP, ULIMA, UPC, UPCH</t>
        </is>
      </c>
    </row>
    <row r="5">
      <c r="B5" s="3" t="inlineStr">
        <is>
          <t>Próximas fechas que importan</t>
        </is>
      </c>
    </row>
    <row r="6">
      <c r="B6" s="4" t="inlineStr">
        <is>
          <t>16 oct 2026</t>
        </is>
      </c>
      <c r="C6" t="inlineStr">
        <is>
          <t>ULIMA Rendimiento Académico: cierre de inscripción (colegios seleccionados).</t>
        </is>
      </c>
    </row>
    <row r="7">
      <c r="B7" s="4" t="inlineStr">
        <is>
          <t>6 nov 2026</t>
        </is>
      </c>
      <c r="C7" t="inlineStr">
        <is>
          <t>ULIMA Examen de Escolares: cierre de inscripción.</t>
        </is>
      </c>
    </row>
    <row r="8">
      <c r="B8" s="4" t="inlineStr">
        <is>
          <t>15 nov 2026</t>
        </is>
      </c>
      <c r="C8" t="inlineStr">
        <is>
          <t>ULIMA Examen de Escolares 2027-1A.</t>
        </is>
      </c>
    </row>
    <row r="9">
      <c r="B9" s="4" t="inlineStr">
        <is>
          <t>29 nov 2026</t>
        </is>
      </c>
      <c r="C9" t="inlineStr">
        <is>
          <t>PUCP La Primera Opción + ARS 3.ª convocatoria. UPCH CEPU II (3.º examen).</t>
        </is>
      </c>
    </row>
    <row r="10">
      <c r="B10" s="4" t="inlineStr">
        <is>
          <t>11 ene 2027</t>
        </is>
      </c>
      <c r="C10" t="inlineStr">
        <is>
          <t>UPCH Medicina: cierre de inscripción.</t>
        </is>
      </c>
    </row>
    <row r="11">
      <c r="B11" s="4" t="inlineStr">
        <is>
          <t>17 ene 2027</t>
        </is>
      </c>
      <c r="C11" t="inlineStr">
        <is>
          <t>UPCH Examen General Medicina + modalidades extraordinarias.</t>
        </is>
      </c>
    </row>
    <row r="12">
      <c r="B12" s="4" t="inlineStr">
        <is>
          <t>Feb 2027</t>
        </is>
      </c>
      <c r="C12" t="inlineStr">
        <is>
          <t>PUCP Evaluación del Talento y Arquitectura egresados (fechas aún no publicadas).</t>
        </is>
      </c>
    </row>
    <row r="13">
      <c r="B13" s="4" t="inlineStr">
        <is>
          <t>~7 mar 2027</t>
        </is>
      </c>
      <c r="C13" t="inlineStr">
        <is>
          <t>ULIMA egresados 2027-1B (fecha no oficial).</t>
        </is>
      </c>
    </row>
    <row r="14">
      <c r="B14" s="4" t="inlineStr">
        <is>
          <t>Continuo</t>
        </is>
      </c>
      <c r="C14" t="inlineStr">
        <is>
          <t>UPC Evaluación Integral online: se agenda al inscribirse, hasta agotar vacantes.</t>
        </is>
      </c>
    </row>
    <row r="16">
      <c r="B16" s="3" t="inlineStr">
        <is>
          <t>Cómo leer este archivo</t>
        </is>
      </c>
    </row>
    <row r="17">
      <c r="B17" s="5" t="inlineStr">
        <is>
          <t>Fechas_admision</t>
        </is>
      </c>
      <c r="C17" s="6" t="inlineStr">
        <is>
          <t>Todas las modalidades por universidad. Columna Estado: Ya pasó / Próximo / Por publicar. Columna Confianza: si el dato es oficial, de un agregador o estimado.</t>
        </is>
      </c>
    </row>
    <row r="18">
      <c r="B18" s="5" t="inlineStr">
        <is>
          <t>Cronograma</t>
        </is>
      </c>
      <c r="C18" s="6" t="inlineStr">
        <is>
          <t>Plan mes a mes (oct 2026 – set 2027) con objetivo, acción de prospección, canal y meta para cada universidad.</t>
        </is>
      </c>
    </row>
    <row r="19">
      <c r="B19" s="5" t="inlineStr">
        <is>
          <t>Metas</t>
        </is>
      </c>
      <c r="C19" s="6" t="inlineStr">
        <is>
          <t>Metas numéricas sugeridas por campaña para medir avance (ajústalas a tu capacidad como único docente).</t>
        </is>
      </c>
    </row>
    <row r="20">
      <c r="B20" s="5" t="inlineStr">
        <is>
          <t>Ojo</t>
        </is>
      </c>
      <c r="C20" s="6" t="inlineStr">
        <is>
          <t>Varias fechas de PUCP (Talento), ULIMA (egresados) y UPC no están publicadas. Están marcadas en rojo; conviene revisarlas a inicios de noviembre y de enero.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46" customWidth="1" min="4" max="4"/>
    <col width="40" customWidth="1" min="5" max="5"/>
    <col width="24" customWidth="1" min="6" max="6"/>
    <col width="26" customWidth="1" min="7" max="7"/>
    <col width="26" customWidth="1" min="8" max="8"/>
    <col width="20" customWidth="1" min="9" max="9"/>
    <col width="30" customWidth="1" min="10" max="10"/>
    <col width="40" customWidth="1" min="11" max="11"/>
    <col width="60" customWidth="1" min="12" max="12"/>
  </cols>
  <sheetData>
    <row r="1" ht="32" customHeight="1">
      <c r="A1" s="7" t="inlineStr">
        <is>
          <t>Universidad</t>
        </is>
      </c>
      <c r="B1" s="7" t="inlineStr">
        <is>
          <t>Periodo</t>
        </is>
      </c>
      <c r="C1" s="7" t="inlineStr">
        <is>
          <t>Grupo</t>
        </is>
      </c>
      <c r="D1" s="7" t="inlineStr">
        <is>
          <t>Modalidad</t>
        </is>
      </c>
      <c r="E1" s="7" t="inlineStr">
        <is>
          <t>Público objetivo</t>
        </is>
      </c>
      <c r="F1" s="7" t="inlineStr">
        <is>
          <t>Cierre inscripción</t>
        </is>
      </c>
      <c r="G1" s="7" t="inlineStr">
        <is>
          <t>Examen / evaluación</t>
        </is>
      </c>
      <c r="H1" s="7" t="inlineStr">
        <is>
          <t>Resultados / entrevista</t>
        </is>
      </c>
      <c r="I1" s="7" t="inlineStr">
        <is>
          <t>Estado</t>
        </is>
      </c>
      <c r="J1" s="7" t="inlineStr">
        <is>
          <t>Confianza del dato</t>
        </is>
      </c>
      <c r="K1" s="7" t="inlineStr">
        <is>
          <t>Fuente</t>
        </is>
      </c>
      <c r="L1" s="7" t="inlineStr">
        <is>
          <t>Nota para ASTROS</t>
        </is>
      </c>
    </row>
    <row r="2">
      <c r="A2" s="6" t="inlineStr">
        <is>
          <t>PUCP</t>
        </is>
      </c>
      <c r="B2" s="6" t="inlineStr">
        <is>
          <t>2027-1</t>
        </is>
      </c>
      <c r="C2" s="6" t="inlineStr">
        <is>
          <t>Alto desempeño</t>
        </is>
      </c>
      <c r="D2" s="6" t="inlineStr">
        <is>
          <t>La Primera Opción – Alto Desempeño</t>
        </is>
      </c>
      <c r="E2" s="6" t="inlineStr">
        <is>
          <t>5.° secundaria (alto rendimiento)</t>
        </is>
      </c>
      <c r="F2" s="6" t="inlineStr">
        <is>
          <t>No publicado</t>
        </is>
      </c>
      <c r="G2" s="8" t="n">
        <v>46278</v>
      </c>
      <c r="H2" s="6" t="inlineStr">
        <is>
          <t>—</t>
        </is>
      </c>
      <c r="I2" s="9" t="inlineStr">
        <is>
          <t>Ya pasó</t>
        </is>
      </c>
      <c r="J2" s="6" t="inlineStr">
        <is>
          <t>Oficial (agregador confirma fecha)</t>
        </is>
      </c>
      <c r="K2" s="10" t="inlineStr">
        <is>
          <t>https://admision.pucp.edu.pe/guia-del-postulante</t>
        </is>
      </c>
      <c r="L2" s="6" t="inlineStr">
        <is>
          <t>Ya pasó.</t>
        </is>
      </c>
    </row>
    <row r="3">
      <c r="A3" s="6" t="inlineStr">
        <is>
          <t>PUCP</t>
        </is>
      </c>
      <c r="B3" s="6" t="inlineStr">
        <is>
          <t>2027-1</t>
        </is>
      </c>
      <c r="C3" s="6" t="inlineStr">
        <is>
          <t>Alto desempeño</t>
        </is>
      </c>
      <c r="D3" s="6" t="inlineStr">
        <is>
          <t>Admisión por Rendimiento Superior (ARS) – 1.ª/2.ª conv.</t>
        </is>
      </c>
      <c r="E3" s="6" t="inlineStr">
        <is>
          <t>5.° secundaria y egresados 2024-2025 de colegios seleccionados (medio/tercio/quinto superior)</t>
        </is>
      </c>
      <c r="F3" s="6" t="inlineStr">
        <is>
          <t>No publicado</t>
        </is>
      </c>
      <c r="G3" s="8" t="n">
        <v>46278</v>
      </c>
      <c r="H3" s="6" t="inlineStr">
        <is>
          <t>—</t>
        </is>
      </c>
      <c r="I3" s="9" t="inlineStr">
        <is>
          <t>Ya pasó</t>
        </is>
      </c>
      <c r="J3" s="6" t="inlineStr">
        <is>
          <t>Agregador (formate.pe)</t>
        </is>
      </c>
      <c r="K3" s="10" t="inlineStr">
        <is>
          <t>https://admision.pucp.edu.pe/guia-del-postulante/modalidades-de-admision/admision-por-rendimiento-superior</t>
        </is>
      </c>
      <c r="L3" s="6" t="inlineStr">
        <is>
          <t>Ya pasó.</t>
        </is>
      </c>
    </row>
    <row r="4">
      <c r="A4" s="6" t="inlineStr">
        <is>
          <t>PUCP</t>
        </is>
      </c>
      <c r="B4" s="6" t="inlineStr">
        <is>
          <t>2027-1</t>
        </is>
      </c>
      <c r="C4" s="6" t="inlineStr">
        <is>
          <t>Especial</t>
        </is>
      </c>
      <c r="D4" s="6" t="inlineStr">
        <is>
          <t>Arquitectura – convocatoria setiembre</t>
        </is>
      </c>
      <c r="E4" s="6" t="inlineStr">
        <is>
          <t>5.° secundaria</t>
        </is>
      </c>
      <c r="F4" s="6" t="inlineStr">
        <is>
          <t>2026-09-07</t>
        </is>
      </c>
      <c r="G4" s="8" t="n">
        <v>46278</v>
      </c>
      <c r="H4" s="6" t="inlineStr">
        <is>
          <t>Resultados 18/09/2026</t>
        </is>
      </c>
      <c r="I4" s="9" t="inlineStr">
        <is>
          <t>Ya pasó</t>
        </is>
      </c>
      <c r="J4" s="6" t="inlineStr">
        <is>
          <t>Oficial</t>
        </is>
      </c>
      <c r="K4" s="10" t="inlineStr">
        <is>
          <t>https://admision.pucp.edu.pe/guia-del-postulante/modalidades-de-admision/carrera-de-arquitectura</t>
        </is>
      </c>
      <c r="L4" s="6" t="inlineStr">
        <is>
          <t>Ya pasó.</t>
        </is>
      </c>
    </row>
    <row r="5">
      <c r="A5" s="6" t="inlineStr">
        <is>
          <t>PUCP</t>
        </is>
      </c>
      <c r="B5" s="6" t="inlineStr">
        <is>
          <t>2027-1</t>
        </is>
      </c>
      <c r="C5" s="6" t="inlineStr">
        <is>
          <t>Especial</t>
        </is>
      </c>
      <c r="D5" s="6" t="inlineStr">
        <is>
          <t>Especialidades Artísticas</t>
        </is>
      </c>
      <c r="E5" s="6" t="inlineStr">
        <is>
          <t>5.° secundaria y egresados</t>
        </is>
      </c>
      <c r="F5" s="6" t="inlineStr">
        <is>
          <t>No publicado</t>
        </is>
      </c>
      <c r="G5" s="8" t="n">
        <v>46278</v>
      </c>
      <c r="H5" s="6" t="inlineStr">
        <is>
          <t>—</t>
        </is>
      </c>
      <c r="I5" s="9" t="inlineStr">
        <is>
          <t>Ya pasó</t>
        </is>
      </c>
      <c r="J5" s="6" t="inlineStr">
        <is>
          <t>Agregador (formate.pe)</t>
        </is>
      </c>
      <c r="K5" s="10" t="inlineStr">
        <is>
          <t>https://admision.pucp.edu.pe/guia-del-postulante</t>
        </is>
      </c>
      <c r="L5" s="6" t="inlineStr">
        <is>
          <t>Ya pasó.</t>
        </is>
      </c>
    </row>
    <row r="6">
      <c r="A6" s="6" t="inlineStr">
        <is>
          <t>PUCP</t>
        </is>
      </c>
      <c r="B6" s="6" t="inlineStr">
        <is>
          <t>2027-1</t>
        </is>
      </c>
      <c r="C6" s="6" t="inlineStr">
        <is>
          <t>Alto desempeño</t>
        </is>
      </c>
      <c r="D6" s="6" t="inlineStr">
        <is>
          <t>ARS – 3.ª convocatoria</t>
        </is>
      </c>
      <c r="E6" s="6" t="inlineStr">
        <is>
          <t>5.° secundaria y egresados 2024-2025 de colegios seleccionados</t>
        </is>
      </c>
      <c r="F6" s="6" t="inlineStr">
        <is>
          <t>Inscripciones abiertas (cierre no publicado)</t>
        </is>
      </c>
      <c r="G6" s="8" t="n">
        <v>46355</v>
      </c>
      <c r="H6" s="6" t="inlineStr">
        <is>
          <t>Resultados 30/11/2026</t>
        </is>
      </c>
      <c r="I6" s="11" t="inlineStr">
        <is>
          <t>Próximo</t>
        </is>
      </c>
      <c r="J6" s="6" t="inlineStr">
        <is>
          <t>Oficial</t>
        </is>
      </c>
      <c r="K6" s="10" t="inlineStr">
        <is>
          <t>https://admision.pucp.edu.pe/guia-del-postulante/modalidades-de-admision/admision-por-rendimiento-superior</t>
        </is>
      </c>
      <c r="L6" s="6" t="inlineStr">
        <is>
          <t>Mínimo 450 puntos para preadmisión. Solo EEGG Ciencias, EEGG Letras, Educación, Gastronomía/Hotelería.</t>
        </is>
      </c>
    </row>
    <row r="7">
      <c r="A7" s="6" t="inlineStr">
        <is>
          <t>PUCP</t>
        </is>
      </c>
      <c r="B7" s="6" t="inlineStr">
        <is>
          <t>2027-1</t>
        </is>
      </c>
      <c r="C7" s="6" t="inlineStr">
        <is>
          <t>Regular</t>
        </is>
      </c>
      <c r="D7" s="6" t="inlineStr">
        <is>
          <t>La Primera Opción</t>
        </is>
      </c>
      <c r="E7" s="6" t="inlineStr">
        <is>
          <t>5.° secundaria (también discapacidad y deportistas IPD)</t>
        </is>
      </c>
      <c r="F7" s="6" t="inlineStr">
        <is>
          <t>Inscripciones abiertas (cierre no publicado)</t>
        </is>
      </c>
      <c r="G7" s="8" t="n">
        <v>46355</v>
      </c>
      <c r="H7" s="6" t="inlineStr">
        <is>
          <t>Resultados 30/11/2026</t>
        </is>
      </c>
      <c r="I7" s="11" t="inlineStr">
        <is>
          <t>Próximo</t>
        </is>
      </c>
      <c r="J7" s="6" t="inlineStr">
        <is>
          <t>Oficial</t>
        </is>
      </c>
      <c r="K7" s="10" t="inlineStr">
        <is>
          <t>https://admision.pucp.edu.pe/guia-del-postulante/modalidades-de-admision/la-primera-opcion</t>
        </is>
      </c>
      <c r="L7" s="6" t="inlineStr">
        <is>
          <t>Examen principal para escolares que ASTROS puede captar YA.</t>
        </is>
      </c>
    </row>
    <row r="8">
      <c r="A8" s="6" t="inlineStr">
        <is>
          <t>PUCP</t>
        </is>
      </c>
      <c r="B8" s="6" t="inlineStr">
        <is>
          <t>2027-1</t>
        </is>
      </c>
      <c r="C8" s="6" t="inlineStr">
        <is>
          <t>Regular</t>
        </is>
      </c>
      <c r="D8" s="6" t="inlineStr">
        <is>
          <t>Evaluación del Talento</t>
        </is>
      </c>
      <c r="E8" s="6" t="inlineStr">
        <is>
          <t>Egresados de secundaria</t>
        </is>
      </c>
      <c r="F8" s="6" t="inlineStr">
        <is>
          <t>No publicado</t>
        </is>
      </c>
      <c r="G8" s="6" t="inlineStr">
        <is>
          <t>Feb 2027 (no publicado)</t>
        </is>
      </c>
      <c r="H8" s="6" t="inlineStr">
        <is>
          <t>—</t>
        </is>
      </c>
      <c r="I8" s="12" t="inlineStr">
        <is>
          <t>Por publicar / estimado</t>
        </is>
      </c>
      <c r="J8" s="13" t="inlineStr">
        <is>
          <t>Estimado (histórico: mediados de febrero)</t>
        </is>
      </c>
      <c r="K8" s="10" t="inlineStr">
        <is>
          <t>https://admision.pucp.edu.pe/guia-del-postulante/modalidades-de-admision/evaluacion-del-talento-r</t>
        </is>
      </c>
      <c r="L8" s="6" t="inlineStr">
        <is>
          <t>Fecha aún no publicada; en años anteriores fue a mediados de febrero. Confirmar en noviembre.</t>
        </is>
      </c>
    </row>
    <row r="9">
      <c r="A9" s="6" t="inlineStr">
        <is>
          <t>PUCP</t>
        </is>
      </c>
      <c r="B9" s="6" t="inlineStr">
        <is>
          <t>2027-1</t>
        </is>
      </c>
      <c r="C9" s="6" t="inlineStr">
        <is>
          <t>Especial</t>
        </is>
      </c>
      <c r="D9" s="6" t="inlineStr">
        <is>
          <t>Arquitectura – convocatoria febrero</t>
        </is>
      </c>
      <c r="E9" s="6" t="inlineStr">
        <is>
          <t>Egresados de secundaria</t>
        </is>
      </c>
      <c r="F9" s="6" t="inlineStr">
        <is>
          <t>No publicado</t>
        </is>
      </c>
      <c r="G9" s="6" t="inlineStr">
        <is>
          <t>Feb 2027 (no publicado)</t>
        </is>
      </c>
      <c r="H9" s="6" t="inlineStr">
        <is>
          <t>—</t>
        </is>
      </c>
      <c r="I9" s="12" t="inlineStr">
        <is>
          <t>Por publicar / estimado</t>
        </is>
      </c>
      <c r="J9" s="6" t="inlineStr">
        <is>
          <t>Oficial (mes) / fecha no publicada</t>
        </is>
      </c>
      <c r="K9" s="10" t="inlineStr">
        <is>
          <t>https://admision.pucp.edu.pe/guia-del-postulante/modalidades-de-admision/carrera-de-arquitectura</t>
        </is>
      </c>
      <c r="L9" s="6" t="inlineStr">
        <is>
          <t>La página oficial confirma convocatoria de febrero 2027 para egresados, sin fecha.</t>
        </is>
      </c>
    </row>
    <row r="10">
      <c r="A10" s="6" t="inlineStr">
        <is>
          <t>PUCP</t>
        </is>
      </c>
      <c r="B10" s="6" t="inlineStr">
        <is>
          <t>2027-1</t>
        </is>
      </c>
      <c r="C10" s="6" t="inlineStr">
        <is>
          <t>Regular</t>
        </is>
      </c>
      <c r="D10" s="6" t="inlineStr">
        <is>
          <t>CEPREPUCP (centro preuniversitario)</t>
        </is>
      </c>
      <c r="E10" s="6" t="inlineStr">
        <is>
          <t>Escolares y egresados</t>
        </is>
      </c>
      <c r="F10" s="6" t="inlineStr">
        <is>
          <t>No publicado</t>
        </is>
      </c>
      <c r="G10" s="6" t="inlineStr">
        <is>
          <t>No publicado</t>
        </is>
      </c>
      <c r="H10" s="6" t="inlineStr">
        <is>
          <t>—</t>
        </is>
      </c>
      <c r="I10" s="12" t="inlineStr">
        <is>
          <t>Por publicar / estimado</t>
        </is>
      </c>
      <c r="J10" s="13" t="inlineStr">
        <is>
          <t>Sin fecha</t>
        </is>
      </c>
      <c r="K10" s="10" t="inlineStr">
        <is>
          <t>https://admision.pucp.edu.pe/guia-del-postulante</t>
        </is>
      </c>
      <c r="L10" s="6" t="inlineStr">
        <is>
          <t>Ingreso por rendimiento en ciclos del CEPREPUCP.</t>
        </is>
      </c>
    </row>
    <row r="11">
      <c r="A11" s="6" t="inlineStr">
        <is>
          <t>PUCP</t>
        </is>
      </c>
      <c r="B11" s="6" t="inlineStr">
        <is>
          <t>2027-1</t>
        </is>
      </c>
      <c r="C11" s="6" t="inlineStr">
        <is>
          <t>Extraordinaria</t>
        </is>
      </c>
      <c r="D11" s="6" t="inlineStr">
        <is>
          <t>Bachillerato / Traslado externo / Ingreso adulto / Hijos de funcionarios int.</t>
        </is>
      </c>
      <c r="E11" s="6" t="inlineStr">
        <is>
          <t>Casos especiales</t>
        </is>
      </c>
      <c r="F11" s="6" t="inlineStr">
        <is>
          <t>No publicado</t>
        </is>
      </c>
      <c r="G11" s="6" t="inlineStr">
        <is>
          <t>No publicado</t>
        </is>
      </c>
      <c r="H11" s="6" t="inlineStr">
        <is>
          <t>—</t>
        </is>
      </c>
      <c r="I11" s="12" t="inlineStr">
        <is>
          <t>Por publicar / estimado</t>
        </is>
      </c>
      <c r="J11" s="13" t="inlineStr">
        <is>
          <t>Sin fecha</t>
        </is>
      </c>
      <c r="K11" s="10" t="inlineStr">
        <is>
          <t>https://admision.pucp.edu.pe/guia-del-postulante</t>
        </is>
      </c>
      <c r="L11" s="6" t="inlineStr">
        <is>
          <t>Nicho pequeño; no priorizar.</t>
        </is>
      </c>
    </row>
    <row r="12">
      <c r="A12" s="6" t="inlineStr">
        <is>
          <t>PUCP</t>
        </is>
      </c>
      <c r="B12" s="6" t="inlineStr">
        <is>
          <t>2027-2</t>
        </is>
      </c>
      <c r="C12" s="6" t="inlineStr">
        <is>
          <t>Regular</t>
        </is>
      </c>
      <c r="D12" s="6" t="inlineStr">
        <is>
          <t>Evaluación del Talento / Primera Opción (2.º semestre)</t>
        </is>
      </c>
      <c r="E12" s="6" t="inlineStr">
        <is>
          <t>Egresados / escolares</t>
        </is>
      </c>
      <c r="F12" s="6" t="inlineStr">
        <is>
          <t>No publicado</t>
        </is>
      </c>
      <c r="G12" s="6" t="inlineStr">
        <is>
          <t>Jun–Jul 2027 (estimado)</t>
        </is>
      </c>
      <c r="H12" s="6" t="inlineStr">
        <is>
          <t>—</t>
        </is>
      </c>
      <c r="I12" s="12" t="inlineStr">
        <is>
          <t>Por publicar / estimado</t>
        </is>
      </c>
      <c r="J12" s="13" t="inlineStr">
        <is>
          <t>Estimado</t>
        </is>
      </c>
      <c r="K12" s="10" t="inlineStr">
        <is>
          <t>https://admision.pucp.edu.pe/guia-del-postulante</t>
        </is>
      </c>
      <c r="L12" s="6" t="inlineStr">
        <is>
          <t>PUCP abre un proceso de mitad de año; fechas se publican hacia marzo-abril 2027.</t>
        </is>
      </c>
    </row>
    <row r="13">
      <c r="A13" s="6" t="inlineStr">
        <is>
          <t>ULIMA</t>
        </is>
      </c>
      <c r="B13" s="6" t="inlineStr">
        <is>
          <t>2027-1A</t>
        </is>
      </c>
      <c r="C13" s="6" t="inlineStr">
        <is>
          <t>Preferente</t>
        </is>
      </c>
      <c r="D13" s="6" t="inlineStr">
        <is>
          <t>Rendimiento Académico (colegios seleccionados)</t>
        </is>
      </c>
      <c r="E13" s="6" t="inlineStr">
        <is>
          <t>5.° secundaria de colegios seleccionados</t>
        </is>
      </c>
      <c r="F13" s="6" t="inlineStr">
        <is>
          <t>2026-10-16 18:00</t>
        </is>
      </c>
      <c r="G13" s="6" t="inlineStr">
        <is>
          <t>Entrevistas hasta 23/10/2026</t>
        </is>
      </c>
      <c r="H13" s="6" t="inlineStr">
        <is>
          <t>Resultados 27/10/2026</t>
        </is>
      </c>
      <c r="I13" s="11" t="inlineStr">
        <is>
          <t>Próximo</t>
        </is>
      </c>
      <c r="J13" s="6" t="inlineStr">
        <is>
          <t>Oficial</t>
        </is>
      </c>
      <c r="K13" s="10" t="inlineStr">
        <is>
          <t>https://www.ulima.edu.pe/rendimiento-academico</t>
        </is>
      </c>
      <c r="L13" s="6" t="inlineStr">
        <is>
          <t>Cierra en 3 días. Si no ingresan, pueden dar el Examen de Escolares del 15/11.</t>
        </is>
      </c>
    </row>
    <row r="14">
      <c r="A14" s="6" t="inlineStr">
        <is>
          <t>ULIMA</t>
        </is>
      </c>
      <c r="B14" s="6" t="inlineStr">
        <is>
          <t>2027-1A</t>
        </is>
      </c>
      <c r="C14" s="6" t="inlineStr">
        <is>
          <t>Regular</t>
        </is>
      </c>
      <c r="D14" s="6" t="inlineStr">
        <is>
          <t>Examen de Escolares</t>
        </is>
      </c>
      <c r="E14" s="6" t="inlineStr">
        <is>
          <t>5.° secundaria</t>
        </is>
      </c>
      <c r="F14" s="6" t="inlineStr">
        <is>
          <t>2026-11-06 18:00</t>
        </is>
      </c>
      <c r="G14" s="8" t="n">
        <v>46341</v>
      </c>
      <c r="H14" s="6" t="inlineStr">
        <is>
          <t>Resultados 15/11/2026 19:00</t>
        </is>
      </c>
      <c r="I14" s="11" t="inlineStr">
        <is>
          <t>Próximo</t>
        </is>
      </c>
      <c r="J14" s="6" t="inlineStr">
        <is>
          <t>Oficial</t>
        </is>
      </c>
      <c r="K14" s="10" t="inlineStr">
        <is>
          <t>https://www.ulima.edu.pe/escolares</t>
        </is>
      </c>
      <c r="L14" s="6" t="inlineStr">
        <is>
          <t>Inicio de clases 29/03/2027. Examen presencial 7:00 h.</t>
        </is>
      </c>
    </row>
    <row r="15">
      <c r="A15" s="6" t="inlineStr">
        <is>
          <t>ULIMA</t>
        </is>
      </c>
      <c r="B15" s="6" t="inlineStr">
        <is>
          <t>2027-1B</t>
        </is>
      </c>
      <c r="C15" s="6" t="inlineStr">
        <is>
          <t>Regular</t>
        </is>
      </c>
      <c r="D15" s="6" t="inlineStr">
        <is>
          <t>Examen de Admisión – Egresados</t>
        </is>
      </c>
      <c r="E15" s="6" t="inlineStr">
        <is>
          <t>Egresados de secundaria</t>
        </is>
      </c>
      <c r="F15" s="6" t="inlineStr">
        <is>
          <t>No publicado</t>
        </is>
      </c>
      <c r="G15" s="6" t="inlineStr">
        <is>
          <t>07/03/2027 (no oficial)</t>
        </is>
      </c>
      <c r="H15" s="6" t="inlineStr">
        <is>
          <t>—</t>
        </is>
      </c>
      <c r="I15" s="12" t="inlineStr">
        <is>
          <t>Por publicar / estimado</t>
        </is>
      </c>
      <c r="J15" s="13" t="inlineStr">
        <is>
          <t>Fuente no oficial (academia)</t>
        </is>
      </c>
      <c r="K15" s="10" t="inlineStr">
        <is>
          <t>https://www.academialameta.com/ulima-admision-egresados/</t>
        </is>
      </c>
      <c r="L15" s="6" t="inlineStr">
        <is>
          <t>Fecha tomada de una academia; ULIMA aún no la publica. Confirmar en enero.</t>
        </is>
      </c>
    </row>
    <row r="16">
      <c r="A16" s="6" t="inlineStr">
        <is>
          <t>ULIMA</t>
        </is>
      </c>
      <c r="B16" s="6" t="inlineStr">
        <is>
          <t>2027-1</t>
        </is>
      </c>
      <c r="C16" s="6" t="inlineStr">
        <is>
          <t>Extraordinaria</t>
        </is>
      </c>
      <c r="D16" s="6" t="inlineStr">
        <is>
          <t>Primeros puestos, Bachillerato Int., Pre Lima, Deportistas, Diplomáticos, Convenios</t>
        </is>
      </c>
      <c r="E16" s="6" t="inlineStr">
        <is>
          <t>Casos especiales</t>
        </is>
      </c>
      <c r="F16" s="6" t="inlineStr">
        <is>
          <t>No publicado</t>
        </is>
      </c>
      <c r="G16" s="6" t="inlineStr">
        <is>
          <t>No publicado</t>
        </is>
      </c>
      <c r="H16" s="6" t="inlineStr">
        <is>
          <t>—</t>
        </is>
      </c>
      <c r="I16" s="12" t="inlineStr">
        <is>
          <t>Por publicar / estimado</t>
        </is>
      </c>
      <c r="J16" s="13" t="inlineStr">
        <is>
          <t>Sin fecha</t>
        </is>
      </c>
      <c r="K16" s="10" t="inlineStr">
        <is>
          <t>https://www.ulima.edu.pe/examen-de-admision</t>
        </is>
      </c>
      <c r="L16" s="6" t="inlineStr">
        <is>
          <t>Pre Lima es el centro preuniversitario de ULIMA (competencia directa).</t>
        </is>
      </c>
    </row>
    <row r="17">
      <c r="A17" s="6" t="inlineStr">
        <is>
          <t>ULIMA</t>
        </is>
      </c>
      <c r="B17" s="6" t="inlineStr">
        <is>
          <t>2027-2</t>
        </is>
      </c>
      <c r="C17" s="6" t="inlineStr">
        <is>
          <t>Regular</t>
        </is>
      </c>
      <c r="D17" s="6" t="inlineStr">
        <is>
          <t>Examen de Admisión</t>
        </is>
      </c>
      <c r="E17" s="6" t="inlineStr">
        <is>
          <t>Egresados / escolares</t>
        </is>
      </c>
      <c r="F17" s="6" t="inlineStr">
        <is>
          <t>No publicado</t>
        </is>
      </c>
      <c r="G17" s="6" t="inlineStr">
        <is>
          <t>Jul 2027 (estimado)</t>
        </is>
      </c>
      <c r="H17" s="6" t="inlineStr">
        <is>
          <t>—</t>
        </is>
      </c>
      <c r="I17" s="12" t="inlineStr">
        <is>
          <t>Por publicar / estimado</t>
        </is>
      </c>
      <c r="J17" s="13" t="inlineStr">
        <is>
          <t>Estimado (2026-2 fue el 19/07/2026)</t>
        </is>
      </c>
      <c r="K17" s="10" t="inlineStr">
        <is>
          <t>https://www.ulima.edu.pe/examen-de-admision</t>
        </is>
      </c>
      <c r="L17" s="6" t="inlineStr">
        <is>
          <t>Inscripciones 2026-2 corrieron 4 may–10 jul; esperar patrón similar.</t>
        </is>
      </c>
    </row>
    <row r="18">
      <c r="A18" s="6" t="inlineStr">
        <is>
          <t>UPC</t>
        </is>
      </c>
      <c r="B18" s="6" t="inlineStr">
        <is>
          <t>2027-1</t>
        </is>
      </c>
      <c r="C18" s="6" t="inlineStr">
        <is>
          <t>Regular</t>
        </is>
      </c>
      <c r="D18" s="6" t="inlineStr">
        <is>
          <t>Admisión General – Evaluación Integral (online)</t>
        </is>
      </c>
      <c r="E18" s="6" t="inlineStr">
        <is>
          <t>5.° secundaria (desde 1.er bimestre) y egresados</t>
        </is>
      </c>
      <c r="F18" s="6" t="inlineStr">
        <is>
          <t>Continua, hasta agotar vacantes</t>
        </is>
      </c>
      <c r="G18" s="6" t="inlineStr">
        <is>
          <t>Se agenda tras inscribirse (2 fechas por periodo)</t>
        </is>
      </c>
      <c r="H18" s="6" t="inlineStr">
        <is>
          <t>—</t>
        </is>
      </c>
      <c r="I18" s="11" t="inlineStr">
        <is>
          <t>Abierto (continuo)</t>
        </is>
      </c>
      <c r="J18" s="6" t="inlineStr">
        <is>
          <t>Oficial (proceso) / fechas no accesibles</t>
        </is>
      </c>
      <c r="K18" s="10" t="inlineStr">
        <is>
          <t>https://descubre.upc.edu.pe/se-parte-de-upc/proceso-de-admision-upc</t>
        </is>
      </c>
      <c r="L18" s="6" t="inlineStr">
        <is>
          <t>La página de cronograma UPC no se pudo leer desde aquí; pedir fechas exactas al 610-5030.</t>
        </is>
      </c>
    </row>
    <row r="19">
      <c r="A19" s="6" t="inlineStr">
        <is>
          <t>UPC</t>
        </is>
      </c>
      <c r="B19" s="6" t="inlineStr">
        <is>
          <t>2027-1</t>
        </is>
      </c>
      <c r="C19" s="6" t="inlineStr">
        <is>
          <t>Preferente</t>
        </is>
      </c>
      <c r="D19" s="6" t="inlineStr">
        <is>
          <t>Selección Preferente (sin examen)</t>
        </is>
      </c>
      <c r="E19" s="6" t="inlineStr">
        <is>
          <t>Alto rendimiento 3.°–5.° (Medicina: 1.°–4.°)</t>
        </is>
      </c>
      <c r="F19" s="6" t="inlineStr">
        <is>
          <t>Continua</t>
        </is>
      </c>
      <c r="G19" s="6" t="inlineStr">
        <is>
          <t>—</t>
        </is>
      </c>
      <c r="H19" s="6" t="inlineStr">
        <is>
          <t>—</t>
        </is>
      </c>
      <c r="I19" s="11" t="inlineStr">
        <is>
          <t>Abierto (continuo)</t>
        </is>
      </c>
      <c r="J19" s="6" t="inlineStr">
        <is>
          <t>Oficial (proceso)</t>
        </is>
      </c>
      <c r="K19" s="10" t="inlineStr">
        <is>
          <t>https://descubre.upc.edu.pe/se-parte-de-upc/proceso-de-admision-upc</t>
        </is>
      </c>
      <c r="L19" s="6" t="inlineStr">
        <is>
          <t>Exonera pago y da Beca de Honor 30%. No requiere preparación: no es mercado ASTROS.</t>
        </is>
      </c>
    </row>
    <row r="20">
      <c r="A20" s="6" t="inlineStr">
        <is>
          <t>UPC</t>
        </is>
      </c>
      <c r="B20" s="6" t="inlineStr">
        <is>
          <t>2027-1</t>
        </is>
      </c>
      <c r="C20" s="6" t="inlineStr">
        <is>
          <t>Especial</t>
        </is>
      </c>
      <c r="D20" s="6" t="inlineStr">
        <is>
          <t>Medicina (evaluación propia + Pre Med UPC)</t>
        </is>
      </c>
      <c r="E20" s="6" t="inlineStr">
        <is>
          <t>5.° secundaria y egresados</t>
        </is>
      </c>
      <c r="F20" s="6" t="inlineStr">
        <is>
          <t>No publicado</t>
        </is>
      </c>
      <c r="G20" s="6" t="inlineStr">
        <is>
          <t>No publicado</t>
        </is>
      </c>
      <c r="H20" s="6" t="inlineStr">
        <is>
          <t>—</t>
        </is>
      </c>
      <c r="I20" s="12" t="inlineStr">
        <is>
          <t>Por publicar / estimado</t>
        </is>
      </c>
      <c r="J20" s="13" t="inlineStr">
        <is>
          <t>Sin fecha</t>
        </is>
      </c>
      <c r="K20" s="10" t="inlineStr">
        <is>
          <t>https://www.upc.edu.pe/admision/cronograma-de-admision/</t>
        </is>
      </c>
      <c r="L20" s="6" t="inlineStr">
        <is>
          <t>Medicina UPC tiene filtro adicional; candidata a curso especializado.</t>
        </is>
      </c>
    </row>
    <row r="21">
      <c r="A21" s="6" t="inlineStr">
        <is>
          <t>UPC</t>
        </is>
      </c>
      <c r="B21" s="6" t="inlineStr">
        <is>
          <t>2027-1</t>
        </is>
      </c>
      <c r="C21" s="6" t="inlineStr">
        <is>
          <t>Extraordinaria</t>
        </is>
      </c>
      <c r="D21" s="6" t="inlineStr">
        <is>
          <t>Bachillerato Int., Traslados, Grado/Título, Pre-UPC, PRONABEC</t>
        </is>
      </c>
      <c r="E21" s="6" t="inlineStr">
        <is>
          <t>Casos especiales</t>
        </is>
      </c>
      <c r="F21" s="6" t="inlineStr">
        <is>
          <t>No publicado</t>
        </is>
      </c>
      <c r="G21" s="6" t="inlineStr">
        <is>
          <t>No publicado</t>
        </is>
      </c>
      <c r="H21" s="6" t="inlineStr">
        <is>
          <t>—</t>
        </is>
      </c>
      <c r="I21" s="12" t="inlineStr">
        <is>
          <t>Por publicar / estimado</t>
        </is>
      </c>
      <c r="J21" s="13" t="inlineStr">
        <is>
          <t>Sin fecha</t>
        </is>
      </c>
      <c r="K21" s="10" t="inlineStr">
        <is>
          <t>https://www.upc.edu.pe/admision/cronograma-de-admision/</t>
        </is>
      </c>
      <c r="L21" s="6" t="inlineStr"/>
    </row>
    <row r="22">
      <c r="A22" s="6" t="inlineStr">
        <is>
          <t>UPC</t>
        </is>
      </c>
      <c r="B22" s="6" t="inlineStr">
        <is>
          <t>2027-2</t>
        </is>
      </c>
      <c r="C22" s="6" t="inlineStr">
        <is>
          <t>Regular</t>
        </is>
      </c>
      <c r="D22" s="6" t="inlineStr">
        <is>
          <t>Admisión General – Evaluación Integral</t>
        </is>
      </c>
      <c r="E22" s="6" t="inlineStr">
        <is>
          <t>Egresados / escolares</t>
        </is>
      </c>
      <c r="F22" s="6" t="inlineStr">
        <is>
          <t>No publicado</t>
        </is>
      </c>
      <c r="G22" s="6" t="inlineStr">
        <is>
          <t>Abr–Jul 2027 (estimado)</t>
        </is>
      </c>
      <c r="H22" s="6" t="inlineStr">
        <is>
          <t>—</t>
        </is>
      </c>
      <c r="I22" s="12" t="inlineStr">
        <is>
          <t>Por publicar / estimado</t>
        </is>
      </c>
      <c r="J22" s="13" t="inlineStr">
        <is>
          <t>Estimado (clases 2026-2 iniciaron 24/08/2026)</t>
        </is>
      </c>
      <c r="K22" s="10" t="inlineStr">
        <is>
          <t>https://www.upc.edu.pe/admision/cronograma-de-admision/</t>
        </is>
      </c>
      <c r="L22" s="6" t="inlineStr"/>
    </row>
    <row r="23">
      <c r="A23" s="6" t="inlineStr">
        <is>
          <t>UPCH</t>
        </is>
      </c>
      <c r="B23" s="6" t="inlineStr">
        <is>
          <t>2027-1</t>
        </is>
      </c>
      <c r="C23" s="6" t="inlineStr">
        <is>
          <t>Preferente</t>
        </is>
      </c>
      <c r="D23" s="6" t="inlineStr">
        <is>
          <t>Excelencia Académica / Factor Excelencia / Bachillerato (excepto Medicina)</t>
        </is>
      </c>
      <c r="E23" s="6" t="inlineStr">
        <is>
          <t>5.° secundaria alto rendimiento</t>
        </is>
      </c>
      <c r="F23" s="6" t="inlineStr">
        <is>
          <t>2026-09-07</t>
        </is>
      </c>
      <c r="G23" s="8" t="n">
        <v>46278</v>
      </c>
      <c r="H23" s="6" t="inlineStr">
        <is>
          <t>Entrevistas 15-16/09/2026</t>
        </is>
      </c>
      <c r="I23" s="9" t="inlineStr">
        <is>
          <t>Ya pasó</t>
        </is>
      </c>
      <c r="J23" s="6" t="inlineStr">
        <is>
          <t>Oficial</t>
        </is>
      </c>
      <c r="K23" s="10" t="inlineStr">
        <is>
          <t>https://cayetano.edu.pe/admision/cronograma-y-modalidades/</t>
        </is>
      </c>
      <c r="L23" s="6" t="inlineStr">
        <is>
          <t>Ya pasó.</t>
        </is>
      </c>
    </row>
    <row r="24">
      <c r="A24" s="6" t="inlineStr">
        <is>
          <t>UPCH</t>
        </is>
      </c>
      <c r="B24" s="6" t="inlineStr">
        <is>
          <t>2027-1</t>
        </is>
      </c>
      <c r="C24" s="6" t="inlineStr">
        <is>
          <t>Regular</t>
        </is>
      </c>
      <c r="D24" s="6" t="inlineStr">
        <is>
          <t>Examen General (excepto Medicina) / Factor Quinto</t>
        </is>
      </c>
      <c r="E24" s="6" t="inlineStr">
        <is>
          <t>5.° secundaria y egresados</t>
        </is>
      </c>
      <c r="F24" s="6" t="inlineStr">
        <is>
          <t>2026-09-07</t>
        </is>
      </c>
      <c r="G24" s="8" t="n">
        <v>46278</v>
      </c>
      <c r="H24" s="6" t="inlineStr">
        <is>
          <t>Entrevistas 15-16/09/2026</t>
        </is>
      </c>
      <c r="I24" s="9" t="inlineStr">
        <is>
          <t>Ya pasó</t>
        </is>
      </c>
      <c r="J24" s="6" t="inlineStr">
        <is>
          <t>Oficial</t>
        </is>
      </c>
      <c r="K24" s="10" t="inlineStr">
        <is>
          <t>https://cayetano.edu.pe/admision/cronograma-y-modalidades/</t>
        </is>
      </c>
      <c r="L24" s="6" t="inlineStr">
        <is>
          <t>Ya pasó.</t>
        </is>
      </c>
    </row>
    <row r="25">
      <c r="A25" s="6" t="inlineStr">
        <is>
          <t>UPCH</t>
        </is>
      </c>
      <c r="B25" s="6" t="inlineStr">
        <is>
          <t>2027-1</t>
        </is>
      </c>
      <c r="C25" s="6" t="inlineStr">
        <is>
          <t>Preferente</t>
        </is>
      </c>
      <c r="D25" s="6" t="inlineStr">
        <is>
          <t>Factor Excelencia – Medicina</t>
        </is>
      </c>
      <c r="E25" s="6" t="inlineStr">
        <is>
          <t>5.° secundaria alto rendimiento</t>
        </is>
      </c>
      <c r="F25" s="6" t="inlineStr">
        <is>
          <t>2026-10-05</t>
        </is>
      </c>
      <c r="G25" s="8" t="n">
        <v>46306</v>
      </c>
      <c r="H25" s="6" t="inlineStr">
        <is>
          <t>Entrevistas 14-15/10/2026</t>
        </is>
      </c>
      <c r="I25" s="9" t="inlineStr">
        <is>
          <t>Ya pasó</t>
        </is>
      </c>
      <c r="J25" s="6" t="inlineStr">
        <is>
          <t>Oficial</t>
        </is>
      </c>
      <c r="K25" s="10" t="inlineStr">
        <is>
          <t>https://cayetano.edu.pe/admision/cronograma-y-modalidades/</t>
        </is>
      </c>
      <c r="L25" s="6" t="inlineStr">
        <is>
          <t>Ya pasó (entrevistas esta semana).</t>
        </is>
      </c>
    </row>
    <row r="26">
      <c r="A26" s="6" t="inlineStr">
        <is>
          <t>UPCH</t>
        </is>
      </c>
      <c r="B26" s="6" t="inlineStr">
        <is>
          <t>2027-1</t>
        </is>
      </c>
      <c r="C26" s="6" t="inlineStr">
        <is>
          <t>Pre Cayetano</t>
        </is>
      </c>
      <c r="D26" s="6" t="inlineStr">
        <is>
          <t>CEPU II (3.º examen)</t>
        </is>
      </c>
      <c r="E26" s="6" t="inlineStr">
        <is>
          <t>Alumnos inscritos en CEPU II</t>
        </is>
      </c>
      <c r="F26" s="6" t="inlineStr">
        <is>
          <t>2026-08-14</t>
        </is>
      </c>
      <c r="G26" s="8" t="n">
        <v>46355</v>
      </c>
      <c r="H26" s="6" t="inlineStr">
        <is>
          <t>Entrevistas 03-04/12/2026</t>
        </is>
      </c>
      <c r="I26" s="11" t="inlineStr">
        <is>
          <t>Próximo</t>
        </is>
      </c>
      <c r="J26" s="6" t="inlineStr">
        <is>
          <t>Oficial</t>
        </is>
      </c>
      <c r="K26" s="10" t="inlineStr">
        <is>
          <t>https://cayetano.edu.pe/admision/cronograma-y-modalidades/</t>
        </is>
      </c>
      <c r="L26" s="6" t="inlineStr">
        <is>
          <t>Exámenes previos 20/09 y 25/10/2026. Alumnos CEPU pueden necesitar refuerzo (cliente ASTROS).</t>
        </is>
      </c>
    </row>
    <row r="27">
      <c r="A27" s="6" t="inlineStr">
        <is>
          <t>UPCH</t>
        </is>
      </c>
      <c r="B27" s="6" t="inlineStr">
        <is>
          <t>2027-1</t>
        </is>
      </c>
      <c r="C27" s="6" t="inlineStr">
        <is>
          <t>Regular</t>
        </is>
      </c>
      <c r="D27" s="6" t="inlineStr">
        <is>
          <t>Examen General – MEDICINA</t>
        </is>
      </c>
      <c r="E27" s="6" t="inlineStr">
        <is>
          <t>5.° secundaria y egresados</t>
        </is>
      </c>
      <c r="F27" s="6" t="inlineStr">
        <is>
          <t>2027-01-11</t>
        </is>
      </c>
      <c r="G27" s="8" t="n">
        <v>46404</v>
      </c>
      <c r="H27" s="6" t="inlineStr">
        <is>
          <t>Entrevistas 20-21/01/2027</t>
        </is>
      </c>
      <c r="I27" s="11" t="inlineStr">
        <is>
          <t>Próximo</t>
        </is>
      </c>
      <c r="J27" s="6" t="inlineStr">
        <is>
          <t>Oficial</t>
        </is>
      </c>
      <c r="K27" s="10" t="inlineStr">
        <is>
          <t>https://cayetano.edu.pe/admision/cronograma-y-modalidades/</t>
        </is>
      </c>
      <c r="L27" s="6" t="inlineStr">
        <is>
          <t>Oportunidad clave: ciclo intensivo Medicina nov–ene.</t>
        </is>
      </c>
    </row>
    <row r="28">
      <c r="A28" s="6" t="inlineStr">
        <is>
          <t>UPCH</t>
        </is>
      </c>
      <c r="B28" s="6" t="inlineStr">
        <is>
          <t>2027-1</t>
        </is>
      </c>
      <c r="C28" s="6" t="inlineStr">
        <is>
          <t>Extraordinaria</t>
        </is>
      </c>
      <c r="D28" s="6" t="inlineStr">
        <is>
          <t>Primeros puestos / Deportistas / Hijos de diplomáticos</t>
        </is>
      </c>
      <c r="E28" s="6" t="inlineStr">
        <is>
          <t>Casos especiales</t>
        </is>
      </c>
      <c r="F28" s="6" t="inlineStr">
        <is>
          <t>Ver nota</t>
        </is>
      </c>
      <c r="G28" s="8" t="n">
        <v>46404</v>
      </c>
      <c r="H28" s="6" t="inlineStr">
        <is>
          <t>Entrevistas 20-21/01/2027</t>
        </is>
      </c>
      <c r="I28" s="11" t="inlineStr">
        <is>
          <t>Próximo</t>
        </is>
      </c>
      <c r="J28" s="6" t="inlineStr">
        <is>
          <t>Oficial (cierre ambiguo)</t>
        </is>
      </c>
      <c r="K28" s="10" t="inlineStr">
        <is>
          <t>https://cayetano.edu.pe/admision/cronograma-y-modalidades/</t>
        </is>
      </c>
      <c r="L28" s="6" t="inlineStr">
        <is>
          <t>La web muestra 20/01 y 21/01/2027 como cierre: dato inconsistente, confirmar.</t>
        </is>
      </c>
    </row>
    <row r="29">
      <c r="A29" s="6" t="inlineStr">
        <is>
          <t>UPCH</t>
        </is>
      </c>
      <c r="B29" s="6" t="inlineStr">
        <is>
          <t>2027-1</t>
        </is>
      </c>
      <c r="C29" s="6" t="inlineStr">
        <is>
          <t>Extraordinaria</t>
        </is>
      </c>
      <c r="D29" s="6" t="inlineStr">
        <is>
          <t>Personas con discapacidad (CONADIS)</t>
        </is>
      </c>
      <c r="E29" s="6" t="inlineStr">
        <is>
          <t>Casos especiales</t>
        </is>
      </c>
      <c r="F29" s="6" t="inlineStr">
        <is>
          <t>2026-12-31</t>
        </is>
      </c>
      <c r="G29" s="8" t="n">
        <v>46404</v>
      </c>
      <c r="H29" s="6" t="inlineStr">
        <is>
          <t>Comisión ad hoc</t>
        </is>
      </c>
      <c r="I29" s="11" t="inlineStr">
        <is>
          <t>Próximo</t>
        </is>
      </c>
      <c r="J29" s="6" t="inlineStr">
        <is>
          <t>Oficial</t>
        </is>
      </c>
      <c r="K29" s="10" t="inlineStr">
        <is>
          <t>https://cayetano.edu.pe/admision/cronograma-y-modalidades/</t>
        </is>
      </c>
      <c r="L29" s="6" t="inlineStr"/>
    </row>
    <row r="30">
      <c r="A30" s="6" t="inlineStr">
        <is>
          <t>UPCH</t>
        </is>
      </c>
      <c r="B30" s="6" t="inlineStr">
        <is>
          <t>2027-1</t>
        </is>
      </c>
      <c r="C30" s="6" t="inlineStr">
        <is>
          <t>Preferente</t>
        </is>
      </c>
      <c r="D30" s="6" t="inlineStr">
        <is>
          <t>Diplomas de Bachillerato – MEDICINA</t>
        </is>
      </c>
      <c r="E30" s="6" t="inlineStr">
        <is>
          <t>Bachillerato internacional</t>
        </is>
      </c>
      <c r="F30" s="6" t="inlineStr">
        <is>
          <t>2027-01-26</t>
        </is>
      </c>
      <c r="G30" s="8" t="n">
        <v>46418</v>
      </c>
      <c r="H30" s="6" t="inlineStr">
        <is>
          <t>Entrevistas 03-04/02/2027</t>
        </is>
      </c>
      <c r="I30" s="11" t="inlineStr">
        <is>
          <t>Próximo</t>
        </is>
      </c>
      <c r="J30" s="6" t="inlineStr">
        <is>
          <t>Oficial</t>
        </is>
      </c>
      <c r="K30" s="10" t="inlineStr">
        <is>
          <t>https://cayetano.edu.pe/admision/cronograma-y-modalidades/</t>
        </is>
      </c>
      <c r="L30" s="6" t="inlineStr"/>
    </row>
    <row r="31">
      <c r="A31" s="6" t="inlineStr">
        <is>
          <t>UPCH</t>
        </is>
      </c>
      <c r="B31" s="6" t="inlineStr">
        <is>
          <t>2027-1</t>
        </is>
      </c>
      <c r="C31" s="6" t="inlineStr">
        <is>
          <t>Extraordinaria</t>
        </is>
      </c>
      <c r="D31" s="6" t="inlineStr">
        <is>
          <t>Graduados / Formación para el trabajo / Traslados</t>
        </is>
      </c>
      <c r="E31" s="6" t="inlineStr">
        <is>
          <t>Casos especiales</t>
        </is>
      </c>
      <c r="F31" s="6" t="inlineStr">
        <is>
          <t>2027-01-15</t>
        </is>
      </c>
      <c r="G31" s="6" t="inlineStr">
        <is>
          <t>Sin examen (expediente + entrevista)</t>
        </is>
      </c>
      <c r="H31" s="6" t="inlineStr">
        <is>
          <t>—</t>
        </is>
      </c>
      <c r="I31" s="11" t="inlineStr">
        <is>
          <t>Próximo</t>
        </is>
      </c>
      <c r="J31" s="6" t="inlineStr">
        <is>
          <t>Oficial</t>
        </is>
      </c>
      <c r="K31" s="10" t="inlineStr">
        <is>
          <t>https://cayetano.edu.pe/admision/cronograma-y-modalidades/</t>
        </is>
      </c>
      <c r="L31" s="6" t="inlineStr"/>
    </row>
    <row r="32">
      <c r="A32" s="6" t="inlineStr">
        <is>
          <t>UPCH</t>
        </is>
      </c>
      <c r="B32" s="6" t="inlineStr">
        <is>
          <t>2027-2</t>
        </is>
      </c>
      <c r="C32" s="6" t="inlineStr">
        <is>
          <t>Regular</t>
        </is>
      </c>
      <c r="D32" s="6" t="inlineStr">
        <is>
          <t>Examen General y Preferentes (excepto Medicina)</t>
        </is>
      </c>
      <c r="E32" s="6" t="inlineStr">
        <is>
          <t>5.° secundaria y egresados</t>
        </is>
      </c>
      <c r="F32" s="6" t="inlineStr">
        <is>
          <t>No publicado</t>
        </is>
      </c>
      <c r="G32" s="6" t="inlineStr">
        <is>
          <t>Abr 2027 (estimado)</t>
        </is>
      </c>
      <c r="H32" s="6" t="inlineStr">
        <is>
          <t>—</t>
        </is>
      </c>
      <c r="I32" s="12" t="inlineStr">
        <is>
          <t>Por publicar / estimado</t>
        </is>
      </c>
      <c r="J32" s="13" t="inlineStr">
        <is>
          <t>Estimado (2026-2 fue 04/04 y 26/04/2026)</t>
        </is>
      </c>
      <c r="K32" s="10" t="inlineStr">
        <is>
          <t>https://cayetano.edu.pe/admision/cronograma-y-modalidades/</t>
        </is>
      </c>
      <c r="L32" s="6" t="inlineStr">
        <is>
          <t>Probable doble fecha: inicio y fin de abril 2027.</t>
        </is>
      </c>
    </row>
    <row r="33">
      <c r="A33" s="6" t="inlineStr">
        <is>
          <t>UPCH</t>
        </is>
      </c>
      <c r="B33" s="6" t="inlineStr">
        <is>
          <t>2028-1</t>
        </is>
      </c>
      <c r="C33" s="6" t="inlineStr">
        <is>
          <t>Pre Cayetano</t>
        </is>
      </c>
      <c r="D33" s="6" t="inlineStr">
        <is>
          <t>CEPU I 2027</t>
        </is>
      </c>
      <c r="E33" s="6" t="inlineStr">
        <is>
          <t>Escolares/egresados</t>
        </is>
      </c>
      <c r="F33" s="6" t="inlineStr">
        <is>
          <t>~Mar 2027 (estimado)</t>
        </is>
      </c>
      <c r="G33" s="6" t="inlineStr">
        <is>
          <t>Abr–Jul 2027 (estimado)</t>
        </is>
      </c>
      <c r="H33" s="6" t="inlineStr">
        <is>
          <t>—</t>
        </is>
      </c>
      <c r="I33" s="12" t="inlineStr">
        <is>
          <t>Por publicar / estimado</t>
        </is>
      </c>
      <c r="J33" s="13" t="inlineStr">
        <is>
          <t>Estimado (CEPU I 2026: 25/04, 31/05, 05/07)</t>
        </is>
      </c>
      <c r="K33" s="10" t="inlineStr">
        <is>
          <t>https://cayetano.edu.pe/admision/cronograma-y-modalidades/</t>
        </is>
      </c>
      <c r="L33" s="6" t="inlineStr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</hyperlinks>
  <pageMargins left="0.75" right="0.75" top="1" bottom="1" header="0.5" footer="0.5"/>
  <tableParts count="1">
    <tablePart xmlns:r="http://schemas.openxmlformats.org/officeDocument/2006/relationships" r:id="rId3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44" customWidth="1" min="4" max="4"/>
    <col width="60" customWidth="1" min="5" max="5"/>
    <col width="24" customWidth="1" min="6" max="6"/>
    <col width="30" customWidth="1" min="7" max="7"/>
    <col width="22" customWidth="1" min="8" max="8"/>
    <col width="12" customWidth="1" min="9" max="9"/>
    <col width="12" customWidth="1" min="10" max="10"/>
  </cols>
  <sheetData>
    <row r="1" ht="32" customHeight="1">
      <c r="A1" s="7" t="inlineStr">
        <is>
          <t>Mes</t>
        </is>
      </c>
      <c r="B1" s="7" t="inlineStr">
        <is>
          <t>Semana / fecha límite</t>
        </is>
      </c>
      <c r="C1" s="7" t="inlineStr">
        <is>
          <t>Universidad</t>
        </is>
      </c>
      <c r="D1" s="7" t="inlineStr">
        <is>
          <t>Objetivo</t>
        </is>
      </c>
      <c r="E1" s="7" t="inlineStr">
        <is>
          <t>Acción de prospección</t>
        </is>
      </c>
      <c r="F1" s="7" t="inlineStr">
        <is>
          <t>Canal</t>
        </is>
      </c>
      <c r="G1" s="7" t="inlineStr">
        <is>
          <t>Público</t>
        </is>
      </c>
      <c r="H1" s="7" t="inlineStr">
        <is>
          <t>Meta (KPI)</t>
        </is>
      </c>
      <c r="I1" s="7" t="inlineStr">
        <is>
          <t>Responsable</t>
        </is>
      </c>
      <c r="J1" s="7" t="inlineStr">
        <is>
          <t>Estado</t>
        </is>
      </c>
    </row>
    <row r="2">
      <c r="A2" s="6" t="inlineStr">
        <is>
          <t>Oct 2026</t>
        </is>
      </c>
      <c r="B2" s="6" t="inlineStr">
        <is>
          <t>13–16 oct</t>
        </is>
      </c>
      <c r="C2" s="6" t="inlineStr">
        <is>
          <t>ULIMA</t>
        </is>
      </c>
      <c r="D2" s="6" t="inlineStr">
        <is>
          <t>Llegar a escolares de colegios seleccionados antes del cierre del 16/10</t>
        </is>
      </c>
      <c r="E2" s="6" t="inlineStr">
        <is>
          <t>Post + historia IG/FB: 'Te preparo para la entrevista y el examen ULIMA'. Mensaje directo a contactos actuales.</t>
        </is>
      </c>
      <c r="F2" s="6" t="inlineStr">
        <is>
          <t>IG, FB, WhatsApp</t>
        </is>
      </c>
      <c r="G2" s="6" t="inlineStr">
        <is>
          <t>5.° secundaria</t>
        </is>
      </c>
      <c r="H2" s="6" t="inlineStr">
        <is>
          <t>10 conversaciones</t>
        </is>
      </c>
      <c r="I2" s="6" t="inlineStr">
        <is>
          <t>Martini</t>
        </is>
      </c>
      <c r="J2" s="6" t="inlineStr">
        <is>
          <t>Pendiente</t>
        </is>
      </c>
    </row>
    <row r="3">
      <c r="A3" s="6" t="inlineStr">
        <is>
          <t>Oct 2026</t>
        </is>
      </c>
      <c r="B3" s="6" t="inlineStr">
        <is>
          <t>14–31 oct</t>
        </is>
      </c>
      <c r="C3" s="6" t="inlineStr">
        <is>
          <t>ULIMA</t>
        </is>
      </c>
      <c r="D3" s="6" t="inlineStr">
        <is>
          <t>Lanzar 'Sprint ULIMA' (4 semanas) para el examen del 15/11</t>
        </is>
      </c>
      <c r="E3" s="6" t="inlineStr">
        <is>
          <t>Landing en la web + campaña con cuenta regresiva. Clase muestra gratuita online de Razonamiento Matemático/Verbal.</t>
        </is>
      </c>
      <c r="F3" s="6" t="inlineStr">
        <is>
          <t>Web, IG Reels, WhatsApp</t>
        </is>
      </c>
      <c r="G3" s="6" t="inlineStr">
        <is>
          <t>5.° secundaria Lima</t>
        </is>
      </c>
      <c r="H3" s="6" t="inlineStr">
        <is>
          <t>5 alumnos inscritos</t>
        </is>
      </c>
      <c r="I3" s="6" t="inlineStr">
        <is>
          <t>Martini</t>
        </is>
      </c>
      <c r="J3" s="6" t="inlineStr">
        <is>
          <t>Pendiente</t>
        </is>
      </c>
    </row>
    <row r="4">
      <c r="A4" s="6" t="inlineStr">
        <is>
          <t>Oct 2026</t>
        </is>
      </c>
      <c r="B4" s="6" t="inlineStr">
        <is>
          <t>14–31 oct</t>
        </is>
      </c>
      <c r="C4" s="6" t="inlineStr">
        <is>
          <t>PUCP</t>
        </is>
      </c>
      <c r="D4" s="6" t="inlineStr">
        <is>
          <t>Lanzar 'Sprint Primera Opción PUCP' (6 semanas) para el 29/11</t>
        </is>
      </c>
      <c r="E4" s="6" t="inlineStr">
        <is>
          <t>Simulacro diagnóstico gratuito tipo PUCP (captura de datos de padres). Testimonios de ingresantes.</t>
        </is>
      </c>
      <c r="F4" s="6" t="inlineStr">
        <is>
          <t>Web, IG, FB, grupos de padres</t>
        </is>
      </c>
      <c r="G4" s="6" t="inlineStr">
        <is>
          <t>5.° secundaria</t>
        </is>
      </c>
      <c r="H4" s="6" t="inlineStr">
        <is>
          <t>8 alumnos inscritos</t>
        </is>
      </c>
      <c r="I4" s="6" t="inlineStr">
        <is>
          <t>Martini</t>
        </is>
      </c>
      <c r="J4" s="6" t="inlineStr">
        <is>
          <t>Pendiente</t>
        </is>
      </c>
    </row>
    <row r="5">
      <c r="A5" s="6" t="inlineStr">
        <is>
          <t>Oct 2026</t>
        </is>
      </c>
      <c r="B5" s="6" t="inlineStr">
        <is>
          <t>Todo el mes</t>
        </is>
      </c>
      <c r="C5" s="6" t="inlineStr">
        <is>
          <t>UPC</t>
        </is>
      </c>
      <c r="D5" s="6" t="inlineStr">
        <is>
          <t>Captar escolares que darán la Evaluación Integral online</t>
        </is>
      </c>
      <c r="E5" s="6" t="inlineStr">
        <is>
          <t>Contenido corto: 'Cómo es la evaluación online UPC'. Asesoría de 1 sesión (ticket bajo).</t>
        </is>
      </c>
      <c r="F5" s="6" t="inlineStr">
        <is>
          <t>IG Reels, TikTok</t>
        </is>
      </c>
      <c r="G5" s="6" t="inlineStr">
        <is>
          <t>5.° secundaria</t>
        </is>
      </c>
      <c r="H5" s="6" t="inlineStr">
        <is>
          <t>3 alumnos</t>
        </is>
      </c>
      <c r="I5" s="6" t="inlineStr">
        <is>
          <t>Martini</t>
        </is>
      </c>
      <c r="J5" s="6" t="inlineStr">
        <is>
          <t>Pendiente</t>
        </is>
      </c>
    </row>
    <row r="6">
      <c r="A6" s="6" t="inlineStr">
        <is>
          <t>Nov 2026</t>
        </is>
      </c>
      <c r="B6" s="6" t="inlineStr">
        <is>
          <t>1–6 nov</t>
        </is>
      </c>
      <c r="C6" s="6" t="inlineStr">
        <is>
          <t>ULIMA</t>
        </is>
      </c>
      <c r="D6" s="6" t="inlineStr">
        <is>
          <t>Recordar cierre de inscripción 06/11</t>
        </is>
      </c>
      <c r="E6" s="6" t="inlineStr">
        <is>
          <t>Recordatorio a leads + último cupo del Sprint.</t>
        </is>
      </c>
      <c r="F6" s="6" t="inlineStr">
        <is>
          <t>WhatsApp difusión</t>
        </is>
      </c>
      <c r="G6" s="6" t="inlineStr">
        <is>
          <t>Leads ULIMA</t>
        </is>
      </c>
      <c r="H6" s="6" t="inlineStr">
        <is>
          <t>100% leads contactados</t>
        </is>
      </c>
      <c r="I6" s="6" t="inlineStr">
        <is>
          <t>Martini</t>
        </is>
      </c>
      <c r="J6" s="6" t="inlineStr">
        <is>
          <t>Pendiente</t>
        </is>
      </c>
    </row>
    <row r="7">
      <c r="A7" s="6" t="inlineStr">
        <is>
          <t>Nov 2026</t>
        </is>
      </c>
      <c r="B7" s="6" t="inlineStr">
        <is>
          <t>8–15 nov</t>
        </is>
      </c>
      <c r="C7" s="6" t="inlineStr">
        <is>
          <t>ULIMA</t>
        </is>
      </c>
      <c r="D7" s="6" t="inlineStr">
        <is>
          <t>Simulacro final ULIMA</t>
        </is>
      </c>
      <c r="E7" s="6" t="inlineStr">
        <is>
          <t>Simulacro cronometrado + corrección personalizada.</t>
        </is>
      </c>
      <c r="F7" s="6" t="inlineStr">
        <is>
          <t>Presencial/online</t>
        </is>
      </c>
      <c r="G7" s="6" t="inlineStr">
        <is>
          <t>Alumnos Sprint</t>
        </is>
      </c>
      <c r="H7" s="6" t="inlineStr">
        <is>
          <t>Simulacro 2 por alumno</t>
        </is>
      </c>
      <c r="I7" s="6" t="inlineStr">
        <is>
          <t>Martini</t>
        </is>
      </c>
      <c r="J7" s="6" t="inlineStr">
        <is>
          <t>Pendiente</t>
        </is>
      </c>
    </row>
    <row r="8">
      <c r="A8" s="6" t="inlineStr">
        <is>
          <t>Nov 2026</t>
        </is>
      </c>
      <c r="B8" s="6" t="inlineStr">
        <is>
          <t>1–29 nov</t>
        </is>
      </c>
      <c r="C8" s="6" t="inlineStr">
        <is>
          <t>PUCP</t>
        </is>
      </c>
      <c r="D8" s="6" t="inlineStr">
        <is>
          <t>Intensivo final Primera Opción</t>
        </is>
      </c>
      <c r="E8" s="6" t="inlineStr">
        <is>
          <t>2 simulacros completos + clases de repaso por área.</t>
        </is>
      </c>
      <c r="F8" s="6" t="inlineStr">
        <is>
          <t>Online/presencial</t>
        </is>
      </c>
      <c r="G8" s="6" t="inlineStr">
        <is>
          <t>Alumnos Sprint PUCP</t>
        </is>
      </c>
      <c r="H8" s="6" t="inlineStr">
        <is>
          <t>Tasa de ingreso ≥ 50%</t>
        </is>
      </c>
      <c r="I8" s="6" t="inlineStr">
        <is>
          <t>Martini</t>
        </is>
      </c>
      <c r="J8" s="6" t="inlineStr">
        <is>
          <t>Pendiente</t>
        </is>
      </c>
    </row>
    <row r="9">
      <c r="A9" s="6" t="inlineStr">
        <is>
          <t>Nov 2026</t>
        </is>
      </c>
      <c r="B9" s="6" t="inlineStr">
        <is>
          <t>1–29 nov</t>
        </is>
      </c>
      <c r="C9" s="6" t="inlineStr">
        <is>
          <t>UPCH</t>
        </is>
      </c>
      <c r="D9" s="6" t="inlineStr">
        <is>
          <t>Refuerzo para alumnos de CEPU II (examen 29/11)</t>
        </is>
      </c>
      <c r="E9" s="6" t="inlineStr">
        <is>
          <t>Ofrecer tutoría por curso a alumnos de CEPU (Biología, Química, RM).</t>
        </is>
      </c>
      <c r="F9" s="6" t="inlineStr">
        <is>
          <t>IG, referidos</t>
        </is>
      </c>
      <c r="G9" s="6" t="inlineStr">
        <is>
          <t>Alumnos CEPU</t>
        </is>
      </c>
      <c r="H9" s="6" t="inlineStr">
        <is>
          <t>3 alumnos</t>
        </is>
      </c>
      <c r="I9" s="6" t="inlineStr">
        <is>
          <t>Martini</t>
        </is>
      </c>
      <c r="J9" s="6" t="inlineStr">
        <is>
          <t>Pendiente</t>
        </is>
      </c>
    </row>
    <row r="10">
      <c r="A10" s="6" t="inlineStr">
        <is>
          <t>Nov 2026</t>
        </is>
      </c>
      <c r="B10" s="6" t="inlineStr">
        <is>
          <t>16–30 nov</t>
        </is>
      </c>
      <c r="C10" s="6" t="inlineStr">
        <is>
          <t>UPCH</t>
        </is>
      </c>
      <c r="D10" s="6" t="inlineStr">
        <is>
          <t>Lanzar 'Ciclo Medicina Cayetano' (examen 17/01)</t>
        </is>
      </c>
      <c r="E10" s="6" t="inlineStr">
        <is>
          <t>Campaña dirigida: 'Medicina UPCH en 8 semanas'. Webinar gratuito con temario.</t>
        </is>
      </c>
      <c r="F10" s="6" t="inlineStr">
        <is>
          <t>Web, IG Ads segmentado, FB</t>
        </is>
      </c>
      <c r="G10" s="6" t="inlineStr">
        <is>
          <t>5.° secundaria y egresados que van a Medicina</t>
        </is>
      </c>
      <c r="H10" s="6" t="inlineStr">
        <is>
          <t>6 alumnos</t>
        </is>
      </c>
      <c r="I10" s="6" t="inlineStr">
        <is>
          <t>Martini</t>
        </is>
      </c>
      <c r="J10" s="6" t="inlineStr">
        <is>
          <t>Pendiente</t>
        </is>
      </c>
    </row>
    <row r="11">
      <c r="A11" s="6" t="inlineStr">
        <is>
          <t>Nov 2026</t>
        </is>
      </c>
      <c r="B11" s="6" t="inlineStr">
        <is>
          <t>30 nov</t>
        </is>
      </c>
      <c r="C11" s="6" t="inlineStr">
        <is>
          <t>Todas</t>
        </is>
      </c>
      <c r="D11" s="6" t="inlineStr">
        <is>
          <t>Capitalizar resultados</t>
        </is>
      </c>
      <c r="E11" s="6" t="inlineStr">
        <is>
          <t>Publicar ingresantes (con permiso) y testimonios. Pedir referidos con descuento.</t>
        </is>
      </c>
      <c r="F11" s="6" t="inlineStr">
        <is>
          <t>IG, FB, WhatsApp</t>
        </is>
      </c>
      <c r="G11" s="6" t="inlineStr">
        <is>
          <t>Comunidad</t>
        </is>
      </c>
      <c r="H11" s="6" t="inlineStr">
        <is>
          <t>2 referidos por ingresante</t>
        </is>
      </c>
      <c r="I11" s="6" t="inlineStr">
        <is>
          <t>Martini</t>
        </is>
      </c>
      <c r="J11" s="6" t="inlineStr">
        <is>
          <t>Pendiente</t>
        </is>
      </c>
    </row>
    <row r="12">
      <c r="A12" s="6" t="inlineStr">
        <is>
          <t>Nov 2026</t>
        </is>
      </c>
      <c r="B12" s="6" t="inlineStr">
        <is>
          <t>Inicios de nov</t>
        </is>
      </c>
      <c r="C12" s="6" t="inlineStr">
        <is>
          <t>PUCP / ULIMA / UPC</t>
        </is>
      </c>
      <c r="D12" s="6" t="inlineStr">
        <is>
          <t>Verificar fechas no publicadas</t>
        </is>
      </c>
      <c r="E12" s="6" t="inlineStr">
        <is>
          <t>Revisar web oficial: Talento PUCP, Arquitectura feb, ULIMA egresados, cronograma UPC.</t>
        </is>
      </c>
      <c r="F12" s="6" t="inlineStr">
        <is>
          <t>Web oficial</t>
        </is>
      </c>
      <c r="G12" s="6" t="inlineStr">
        <is>
          <t>—</t>
        </is>
      </c>
      <c r="H12" s="6" t="inlineStr">
        <is>
          <t>Hoja actualizada</t>
        </is>
      </c>
      <c r="I12" s="6" t="inlineStr">
        <is>
          <t>Martini</t>
        </is>
      </c>
      <c r="J12" s="6" t="inlineStr">
        <is>
          <t>Pendiente</t>
        </is>
      </c>
    </row>
    <row r="13">
      <c r="A13" s="6" t="inlineStr">
        <is>
          <t>Dic 2026</t>
        </is>
      </c>
      <c r="B13" s="6" t="inlineStr">
        <is>
          <t>1–20 dic</t>
        </is>
      </c>
      <c r="C13" s="6" t="inlineStr">
        <is>
          <t>PUCP</t>
        </is>
      </c>
      <c r="D13" s="6" t="inlineStr">
        <is>
          <t>Lanzar 'Ciclo Verano Talento PUCP' para egresados</t>
        </is>
      </c>
      <c r="E13" s="6" t="inlineStr">
        <is>
          <t>Captar a quienes no ingresaron el 29/11 y a egresados 2026. Mensaje: 'Segunda oportunidad en febrero'.</t>
        </is>
      </c>
      <c r="F13" s="6" t="inlineStr">
        <is>
          <t>IG Ads, WhatsApp a leads no ingresantes</t>
        </is>
      </c>
      <c r="G13" s="6" t="inlineStr">
        <is>
          <t>Egresados</t>
        </is>
      </c>
      <c r="H13" s="6" t="inlineStr">
        <is>
          <t>8 alumnos</t>
        </is>
      </c>
      <c r="I13" s="6" t="inlineStr">
        <is>
          <t>Martini</t>
        </is>
      </c>
      <c r="J13" s="6" t="inlineStr">
        <is>
          <t>Pendiente</t>
        </is>
      </c>
    </row>
    <row r="14">
      <c r="A14" s="6" t="inlineStr">
        <is>
          <t>Dic 2026</t>
        </is>
      </c>
      <c r="B14" s="6" t="inlineStr">
        <is>
          <t>1–20 dic</t>
        </is>
      </c>
      <c r="C14" s="6" t="inlineStr">
        <is>
          <t>ULIMA</t>
        </is>
      </c>
      <c r="D14" s="6" t="inlineStr">
        <is>
          <t>Lanzar ciclo verano ULIMA egresados (examen ~07/03)</t>
        </is>
      </c>
      <c r="E14" s="6" t="inlineStr">
        <is>
          <t>Mismo flujo que PUCP, con simulacro diagnóstico.</t>
        </is>
      </c>
      <c r="F14" s="6" t="inlineStr">
        <is>
          <t>IG, FB</t>
        </is>
      </c>
      <c r="G14" s="6" t="inlineStr">
        <is>
          <t>Egresados</t>
        </is>
      </c>
      <c r="H14" s="6" t="inlineStr">
        <is>
          <t>5 alumnos</t>
        </is>
      </c>
      <c r="I14" s="6" t="inlineStr">
        <is>
          <t>Martini</t>
        </is>
      </c>
      <c r="J14" s="6" t="inlineStr">
        <is>
          <t>Pendiente</t>
        </is>
      </c>
    </row>
    <row r="15">
      <c r="A15" s="6" t="inlineStr">
        <is>
          <t>Dic 2026</t>
        </is>
      </c>
      <c r="B15" s="6" t="inlineStr">
        <is>
          <t>Todo el mes</t>
        </is>
      </c>
      <c r="C15" s="6" t="inlineStr">
        <is>
          <t>UPCH</t>
        </is>
      </c>
      <c r="D15" s="6" t="inlineStr">
        <is>
          <t>Intensivo Medicina</t>
        </is>
      </c>
      <c r="E15" s="6" t="inlineStr">
        <is>
          <t>Clases + 1 simulacro semanal.</t>
        </is>
      </c>
      <c r="F15" s="6" t="inlineStr">
        <is>
          <t>Online/presencial</t>
        </is>
      </c>
      <c r="G15" s="6" t="inlineStr">
        <is>
          <t>Alumnos Medicina</t>
        </is>
      </c>
      <c r="H15" s="6" t="inlineStr">
        <is>
          <t>4 simulacros por alumno</t>
        </is>
      </c>
      <c r="I15" s="6" t="inlineStr">
        <is>
          <t>Martini</t>
        </is>
      </c>
      <c r="J15" s="6" t="inlineStr">
        <is>
          <t>Pendiente</t>
        </is>
      </c>
    </row>
    <row r="16">
      <c r="A16" s="6" t="inlineStr">
        <is>
          <t>Dic 2026</t>
        </is>
      </c>
      <c r="B16" s="6" t="inlineStr">
        <is>
          <t>Todo el mes</t>
        </is>
      </c>
      <c r="C16" s="6" t="inlineStr">
        <is>
          <t>Universitarios</t>
        </is>
      </c>
      <c r="D16" s="6" t="inlineStr">
        <is>
          <t>Captar cachimbos que ingresaron</t>
        </is>
      </c>
      <c r="E16" s="6" t="inlineStr">
        <is>
          <t>Ofrecer tutoría de cursos de 1.er ciclo (Cálculo, Física, Química) para marzo.</t>
        </is>
      </c>
      <c r="F16" s="6" t="inlineStr">
        <is>
          <t>IG, grupos de ingresantes</t>
        </is>
      </c>
      <c r="G16" s="6" t="inlineStr">
        <is>
          <t>Ingresantes 2027-1</t>
        </is>
      </c>
      <c r="H16" s="6" t="inlineStr">
        <is>
          <t>Lista de 20 interesados</t>
        </is>
      </c>
      <c r="I16" s="6" t="inlineStr">
        <is>
          <t>Martini</t>
        </is>
      </c>
      <c r="J16" s="6" t="inlineStr">
        <is>
          <t>Pendiente</t>
        </is>
      </c>
    </row>
    <row r="17">
      <c r="A17" s="6" t="inlineStr">
        <is>
          <t>Ene 2027</t>
        </is>
      </c>
      <c r="B17" s="6" t="inlineStr">
        <is>
          <t>1–11 ene</t>
        </is>
      </c>
      <c r="C17" s="6" t="inlineStr">
        <is>
          <t>UPCH</t>
        </is>
      </c>
      <c r="D17" s="6" t="inlineStr">
        <is>
          <t>Recordar cierre inscripción Medicina 11/01</t>
        </is>
      </c>
      <c r="E17" s="6" t="inlineStr">
        <is>
          <t>Recordatorio a leads.</t>
        </is>
      </c>
      <c r="F17" s="6" t="inlineStr">
        <is>
          <t>WhatsApp</t>
        </is>
      </c>
      <c r="G17" s="6" t="inlineStr">
        <is>
          <t>Leads Medicina</t>
        </is>
      </c>
      <c r="H17" s="6" t="inlineStr">
        <is>
          <t>100% contactados</t>
        </is>
      </c>
      <c r="I17" s="6" t="inlineStr">
        <is>
          <t>Martini</t>
        </is>
      </c>
      <c r="J17" s="6" t="inlineStr">
        <is>
          <t>Pendiente</t>
        </is>
      </c>
    </row>
    <row r="18">
      <c r="A18" s="6" t="inlineStr">
        <is>
          <t>Ene 2027</t>
        </is>
      </c>
      <c r="B18" s="6" t="inlineStr">
        <is>
          <t>12–17 ene</t>
        </is>
      </c>
      <c r="C18" s="6" t="inlineStr">
        <is>
          <t>UPCH</t>
        </is>
      </c>
      <c r="D18" s="6" t="inlineStr">
        <is>
          <t>Simulacro final Medicina</t>
        </is>
      </c>
      <c r="E18" s="6" t="inlineStr">
        <is>
          <t>Simulacro tipo UPCH + preparación de entrevista (20–21/01).</t>
        </is>
      </c>
      <c r="F18" s="6" t="inlineStr">
        <is>
          <t>Presencial/online</t>
        </is>
      </c>
      <c r="G18" s="6" t="inlineStr">
        <is>
          <t>Alumnos Medicina</t>
        </is>
      </c>
      <c r="H18" s="6" t="inlineStr">
        <is>
          <t>Tasa de ingreso ≥ 40%</t>
        </is>
      </c>
      <c r="I18" s="6" t="inlineStr">
        <is>
          <t>Martini</t>
        </is>
      </c>
      <c r="J18" s="6" t="inlineStr">
        <is>
          <t>Pendiente</t>
        </is>
      </c>
    </row>
    <row r="19">
      <c r="A19" s="6" t="inlineStr">
        <is>
          <t>Ene 2027</t>
        </is>
      </c>
      <c r="B19" s="6" t="inlineStr">
        <is>
          <t>Todo el mes</t>
        </is>
      </c>
      <c r="C19" s="6" t="inlineStr">
        <is>
          <t>PUCP / ULIMA</t>
        </is>
      </c>
      <c r="D19" s="6" t="inlineStr">
        <is>
          <t>Ciclo verano en curso</t>
        </is>
      </c>
      <c r="E19" s="6" t="inlineStr">
        <is>
          <t>Simulacros quincenales; confirmar fechas oficiales de Talento y ULIMA egresados.</t>
        </is>
      </c>
      <c r="F19" s="6" t="inlineStr">
        <is>
          <t>—</t>
        </is>
      </c>
      <c r="G19" s="6" t="inlineStr">
        <is>
          <t>Alumnos verano</t>
        </is>
      </c>
      <c r="H19" s="6" t="inlineStr">
        <is>
          <t>Asistencia ≥ 90%</t>
        </is>
      </c>
      <c r="I19" s="6" t="inlineStr">
        <is>
          <t>Martini</t>
        </is>
      </c>
      <c r="J19" s="6" t="inlineStr">
        <is>
          <t>Pendiente</t>
        </is>
      </c>
    </row>
    <row r="20">
      <c r="A20" s="6" t="inlineStr">
        <is>
          <t>Feb 2027</t>
        </is>
      </c>
      <c r="B20" s="6" t="inlineStr">
        <is>
          <t>Fecha por confirmar</t>
        </is>
      </c>
      <c r="C20" s="6" t="inlineStr">
        <is>
          <t>PUCP</t>
        </is>
      </c>
      <c r="D20" s="6" t="inlineStr">
        <is>
          <t>Evaluación del Talento / Arquitectura feb</t>
        </is>
      </c>
      <c r="E20" s="6" t="inlineStr">
        <is>
          <t>Simulacro final + resultados y testimonios.</t>
        </is>
      </c>
      <c r="F20" s="6" t="inlineStr">
        <is>
          <t>—</t>
        </is>
      </c>
      <c r="G20" s="6" t="inlineStr">
        <is>
          <t>Egresados</t>
        </is>
      </c>
      <c r="H20" s="6" t="inlineStr">
        <is>
          <t>Tasa de ingreso ≥ 50%</t>
        </is>
      </c>
      <c r="I20" s="6" t="inlineStr">
        <is>
          <t>Martini</t>
        </is>
      </c>
      <c r="J20" s="6" t="inlineStr">
        <is>
          <t>Pendiente</t>
        </is>
      </c>
    </row>
    <row r="21">
      <c r="A21" s="6" t="inlineStr">
        <is>
          <t>Feb–Mar 2027</t>
        </is>
      </c>
      <c r="B21" s="6" t="inlineStr">
        <is>
          <t>Todo</t>
        </is>
      </c>
      <c r="C21" s="6" t="inlineStr">
        <is>
          <t>Universitarios</t>
        </is>
      </c>
      <c r="D21" s="6" t="inlineStr">
        <is>
          <t>Lanzar 'Tutoría Cachimbos' (inicio de clases ~29/03 ULIMA, marzo PUCP/UPC)</t>
        </is>
      </c>
      <c r="E21" s="6" t="inlineStr">
        <is>
          <t>Paquetes por curso para 1.er ciclo.</t>
        </is>
      </c>
      <c r="F21" s="6" t="inlineStr">
        <is>
          <t>IG, referidos</t>
        </is>
      </c>
      <c r="G21" s="6" t="inlineStr">
        <is>
          <t>Universitarios 1.er año</t>
        </is>
      </c>
      <c r="H21" s="6" t="inlineStr">
        <is>
          <t>10 alumnos</t>
        </is>
      </c>
      <c r="I21" s="6" t="inlineStr">
        <is>
          <t>Martini</t>
        </is>
      </c>
      <c r="J21" s="6" t="inlineStr">
        <is>
          <t>Pendiente</t>
        </is>
      </c>
    </row>
    <row r="22">
      <c r="A22" s="6" t="inlineStr">
        <is>
          <t>Mar 2027</t>
        </is>
      </c>
      <c r="B22" s="6" t="inlineStr">
        <is>
          <t>~7 mar</t>
        </is>
      </c>
      <c r="C22" s="6" t="inlineStr">
        <is>
          <t>ULIMA</t>
        </is>
      </c>
      <c r="D22" s="6" t="inlineStr">
        <is>
          <t>Examen egresados 2027-1B</t>
        </is>
      </c>
      <c r="E22" s="6" t="inlineStr">
        <is>
          <t>Simulacro final + testimonios.</t>
        </is>
      </c>
      <c r="F22" s="6" t="inlineStr">
        <is>
          <t>—</t>
        </is>
      </c>
      <c r="G22" s="6" t="inlineStr">
        <is>
          <t>Egresados</t>
        </is>
      </c>
      <c r="H22" s="6" t="inlineStr">
        <is>
          <t>Tasa de ingreso ≥ 50%</t>
        </is>
      </c>
      <c r="I22" s="6" t="inlineStr">
        <is>
          <t>Martini</t>
        </is>
      </c>
      <c r="J22" s="6" t="inlineStr">
        <is>
          <t>Pendiente</t>
        </is>
      </c>
    </row>
    <row r="23">
      <c r="A23" s="6" t="inlineStr">
        <is>
          <t>Mar 2027</t>
        </is>
      </c>
      <c r="B23" s="6" t="inlineStr">
        <is>
          <t>Todo el mes</t>
        </is>
      </c>
      <c r="C23" s="6" t="inlineStr">
        <is>
          <t>Escolares</t>
        </is>
      </c>
      <c r="D23" s="6" t="inlineStr">
        <is>
          <t>Captar 5.° de secundaria 2027 (examen set y nov)</t>
        </is>
      </c>
      <c r="E23" s="6" t="inlineStr">
        <is>
          <t>Plan anual 'Ruta ASTROS': diagnóstico + ciclo anual. Alianzas con 2–3 colegios.</t>
        </is>
      </c>
      <c r="F23" s="6" t="inlineStr">
        <is>
          <t>Colegios, IG, FB, padres</t>
        </is>
      </c>
      <c r="G23" s="6" t="inlineStr">
        <is>
          <t>5.° secundaria 2027 y 4.° (Medicina UPC usa notas 1.°–4.°)</t>
        </is>
      </c>
      <c r="H23" s="6" t="inlineStr">
        <is>
          <t>15 alumnos ciclo anual</t>
        </is>
      </c>
      <c r="I23" s="6" t="inlineStr">
        <is>
          <t>Martini</t>
        </is>
      </c>
      <c r="J23" s="6" t="inlineStr">
        <is>
          <t>Pendiente</t>
        </is>
      </c>
    </row>
    <row r="24">
      <c r="A24" s="6" t="inlineStr">
        <is>
          <t>Mar–Abr 2027</t>
        </is>
      </c>
      <c r="B24" s="6" t="inlineStr">
        <is>
          <t>Todo</t>
        </is>
      </c>
      <c r="C24" s="6" t="inlineStr">
        <is>
          <t>UPCH / UPC</t>
        </is>
      </c>
      <c r="D24" s="6" t="inlineStr">
        <is>
          <t>Admisión 2027-2 (UPCH ~abril, UPC continuo)</t>
        </is>
      </c>
      <c r="E24" s="6" t="inlineStr">
        <is>
          <t>Ciclo corto para egresados que no ingresaron en enero.</t>
        </is>
      </c>
      <c r="F24" s="6" t="inlineStr">
        <is>
          <t>IG, WhatsApp</t>
        </is>
      </c>
      <c r="G24" s="6" t="inlineStr">
        <is>
          <t>Egresados</t>
        </is>
      </c>
      <c r="H24" s="6" t="inlineStr">
        <is>
          <t>4 alumnos</t>
        </is>
      </c>
      <c r="I24" s="6" t="inlineStr">
        <is>
          <t>Martini</t>
        </is>
      </c>
      <c r="J24" s="6" t="inlineStr">
        <is>
          <t>Pendiente</t>
        </is>
      </c>
    </row>
    <row r="25">
      <c r="A25" s="6" t="inlineStr">
        <is>
          <t>May–Jul 2027</t>
        </is>
      </c>
      <c r="B25" s="6" t="inlineStr">
        <is>
          <t>Todo</t>
        </is>
      </c>
      <c r="C25" s="6" t="inlineStr">
        <is>
          <t>PUCP / ULIMA</t>
        </is>
      </c>
      <c r="D25" s="6" t="inlineStr">
        <is>
          <t>Admisión 2027-2 (ULIMA ~julio, PUCP mitad de año)</t>
        </is>
      </c>
      <c r="E25" s="6" t="inlineStr">
        <is>
          <t>Ciclo 'Medio año' para egresados.</t>
        </is>
      </c>
      <c r="F25" s="6" t="inlineStr">
        <is>
          <t>IG Ads, WhatsApp</t>
        </is>
      </c>
      <c r="G25" s="6" t="inlineStr">
        <is>
          <t>Egresados</t>
        </is>
      </c>
      <c r="H25" s="6" t="inlineStr">
        <is>
          <t>8 alumnos</t>
        </is>
      </c>
      <c r="I25" s="6" t="inlineStr">
        <is>
          <t>Martini</t>
        </is>
      </c>
      <c r="J25" s="6" t="inlineStr">
        <is>
          <t>Pendiente</t>
        </is>
      </c>
    </row>
    <row r="26">
      <c r="A26" s="6" t="inlineStr">
        <is>
          <t>Jun–Ago 2027</t>
        </is>
      </c>
      <c r="B26" s="6" t="inlineStr">
        <is>
          <t>Todo</t>
        </is>
      </c>
      <c r="C26" s="6" t="inlineStr">
        <is>
          <t>PUCP / UPCH</t>
        </is>
      </c>
      <c r="D26" s="6" t="inlineStr">
        <is>
          <t>Preparar convocatorias de setiembre 2027 (Alto desempeño PUCP, Preferentes UPCH)</t>
        </is>
      </c>
      <c r="E26" s="6" t="inlineStr">
        <is>
          <t>Ciclo para escolares de alto rendimiento.</t>
        </is>
      </c>
      <c r="F26" s="6" t="inlineStr">
        <is>
          <t>Colegios, IG</t>
        </is>
      </c>
      <c r="G26" s="6" t="inlineStr">
        <is>
          <t>5.° secundaria top</t>
        </is>
      </c>
      <c r="H26" s="6" t="inlineStr">
        <is>
          <t>8 alumnos</t>
        </is>
      </c>
      <c r="I26" s="6" t="inlineStr">
        <is>
          <t>Martini</t>
        </is>
      </c>
      <c r="J26" s="6" t="inlineStr">
        <is>
          <t>Pendiente</t>
        </is>
      </c>
    </row>
    <row r="27">
      <c r="A27" s="6" t="inlineStr">
        <is>
          <t>Set 2027</t>
        </is>
      </c>
      <c r="B27" s="6" t="inlineStr">
        <is>
          <t>~2.ª semana</t>
        </is>
      </c>
      <c r="C27" s="6" t="inlineStr">
        <is>
          <t>PUCP / UPCH</t>
        </is>
      </c>
      <c r="D27" s="6" t="inlineStr">
        <is>
          <t>Exámenes de setiembre 2027 (2028-1)</t>
        </is>
      </c>
      <c r="E27" s="6" t="inlineStr">
        <is>
          <t>Simulacros finales + campaña ULIMA nov / PUCP nov.</t>
        </is>
      </c>
      <c r="F27" s="6" t="inlineStr">
        <is>
          <t>—</t>
        </is>
      </c>
      <c r="G27" s="6" t="inlineStr">
        <is>
          <t>5.° secundaria</t>
        </is>
      </c>
      <c r="H27" s="6" t="inlineStr">
        <is>
          <t>Repetir ciclo</t>
        </is>
      </c>
      <c r="I27" s="6" t="inlineStr">
        <is>
          <t>Martini</t>
        </is>
      </c>
      <c r="J27" s="6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24" customWidth="1" min="4" max="4"/>
    <col width="12" customWidth="1" min="5" max="5"/>
    <col width="16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 ht="32" customHeight="1">
      <c r="A1" s="7" t="inlineStr">
        <is>
          <t>Campaña</t>
        </is>
      </c>
      <c r="B1" s="7" t="inlineStr">
        <is>
          <t>Examen objetivo</t>
        </is>
      </c>
      <c r="C1" s="7" t="inlineStr">
        <is>
          <t>Leads (conversaciones)</t>
        </is>
      </c>
      <c r="D1" s="7" t="inlineStr">
        <is>
          <t>Clase muestra / simulacro gratis</t>
        </is>
      </c>
      <c r="E1" s="7" t="inlineStr">
        <is>
          <t>Inscritos</t>
        </is>
      </c>
      <c r="F1" s="7" t="inlineStr">
        <is>
          <t>Ingresantes meta</t>
        </is>
      </c>
      <c r="G1" s="7" t="inlineStr">
        <is>
          <t>Tasa conversión lead→alumno</t>
        </is>
      </c>
      <c r="H1" s="7" t="inlineStr">
        <is>
          <t>Leads reales</t>
        </is>
      </c>
      <c r="I1" s="7" t="inlineStr">
        <is>
          <t>Inscritos reales</t>
        </is>
      </c>
      <c r="J1" s="7" t="inlineStr">
        <is>
          <t>Ingresantes reales</t>
        </is>
      </c>
    </row>
    <row r="2">
      <c r="A2" t="inlineStr">
        <is>
          <t>Sprint ULIMA</t>
        </is>
      </c>
      <c r="B2" t="inlineStr">
        <is>
          <t>ULIMA 15/11/2026</t>
        </is>
      </c>
      <c r="C2" t="n">
        <v>40</v>
      </c>
      <c r="D2" t="n">
        <v>15</v>
      </c>
      <c r="E2" t="n">
        <v>5</v>
      </c>
      <c r="F2" t="n">
        <v>3</v>
      </c>
      <c r="G2" s="14">
        <f>IFERROR(E2/C2,0)</f>
        <v/>
      </c>
    </row>
    <row r="3">
      <c r="A3" t="inlineStr">
        <is>
          <t>Sprint Primera Opción PUCP</t>
        </is>
      </c>
      <c r="B3" t="inlineStr">
        <is>
          <t>PUCP 29/11/2026</t>
        </is>
      </c>
      <c r="C3" t="n">
        <v>60</v>
      </c>
      <c r="D3" t="n">
        <v>20</v>
      </c>
      <c r="E3" t="n">
        <v>8</v>
      </c>
      <c r="F3" t="n">
        <v>4</v>
      </c>
      <c r="G3" s="14">
        <f>IFERROR(E3/C3,0)</f>
        <v/>
      </c>
    </row>
    <row r="4">
      <c r="A4" t="inlineStr">
        <is>
          <t>Refuerzo CEPU</t>
        </is>
      </c>
      <c r="B4" t="inlineStr">
        <is>
          <t>UPCH CEPU II 29/11/2026</t>
        </is>
      </c>
      <c r="C4" t="n">
        <v>15</v>
      </c>
      <c r="D4" t="n">
        <v>6</v>
      </c>
      <c r="E4" t="n">
        <v>3</v>
      </c>
      <c r="F4" t="n">
        <v>2</v>
      </c>
      <c r="G4" s="14">
        <f>IFERROR(E4/C4,0)</f>
        <v/>
      </c>
    </row>
    <row r="5">
      <c r="A5" t="inlineStr">
        <is>
          <t>Ciclo Medicina Cayetano</t>
        </is>
      </c>
      <c r="B5" t="inlineStr">
        <is>
          <t>UPCH 17/01/2027</t>
        </is>
      </c>
      <c r="C5" t="n">
        <v>40</v>
      </c>
      <c r="D5" t="n">
        <v>15</v>
      </c>
      <c r="E5" t="n">
        <v>6</v>
      </c>
      <c r="F5" t="n">
        <v>3</v>
      </c>
      <c r="G5" s="14">
        <f>IFERROR(E5/C5,0)</f>
        <v/>
      </c>
    </row>
    <row r="6">
      <c r="A6" t="inlineStr">
        <is>
          <t>Ciclo Verano Talento PUCP</t>
        </is>
      </c>
      <c r="B6" t="inlineStr">
        <is>
          <t>PUCP feb 2027</t>
        </is>
      </c>
      <c r="C6" t="n">
        <v>50</v>
      </c>
      <c r="D6" t="n">
        <v>18</v>
      </c>
      <c r="E6" t="n">
        <v>8</v>
      </c>
      <c r="F6" t="n">
        <v>4</v>
      </c>
      <c r="G6" s="14">
        <f>IFERROR(E6/C6,0)</f>
        <v/>
      </c>
    </row>
    <row r="7">
      <c r="A7" t="inlineStr">
        <is>
          <t>Ciclo Verano ULIMA egresados</t>
        </is>
      </c>
      <c r="B7" t="inlineStr">
        <is>
          <t>ULIMA ~07/03/2027</t>
        </is>
      </c>
      <c r="C7" t="n">
        <v>30</v>
      </c>
      <c r="D7" t="n">
        <v>12</v>
      </c>
      <c r="E7" t="n">
        <v>5</v>
      </c>
      <c r="F7" t="n">
        <v>3</v>
      </c>
      <c r="G7" s="14">
        <f>IFERROR(E7/C7,0)</f>
        <v/>
      </c>
    </row>
    <row r="8">
      <c r="A8" t="inlineStr">
        <is>
          <t>Tutoría Cachimbos</t>
        </is>
      </c>
      <c r="B8" t="inlineStr">
        <is>
          <t>Cursos 1.er ciclo</t>
        </is>
      </c>
      <c r="C8" t="n">
        <v>40</v>
      </c>
      <c r="D8" t="n">
        <v>15</v>
      </c>
      <c r="E8" t="n">
        <v>10</v>
      </c>
      <c r="G8" s="14">
        <f>IFERROR(E8/C8,0)</f>
        <v/>
      </c>
    </row>
    <row r="9">
      <c r="A9" s="5" t="inlineStr">
        <is>
          <t>TOTAL</t>
        </is>
      </c>
      <c r="B9" s="5" t="inlineStr"/>
      <c r="C9" s="5">
        <f>SUM(C2:C8)</f>
        <v/>
      </c>
      <c r="D9" s="5">
        <f>SUM(D2:D8)</f>
        <v/>
      </c>
      <c r="E9" s="5">
        <f>SUM(E2:E8)</f>
        <v/>
      </c>
      <c r="F9" s="5">
        <f>SUM(F2:F8)</f>
        <v/>
      </c>
      <c r="G9" s="15">
        <f>IFERROR(E9/C9,0)</f>
        <v/>
      </c>
      <c r="H9" s="5">
        <f>SUM(H2:H8)</f>
        <v/>
      </c>
      <c r="I9" s="5">
        <f>SUM(I2:I8)</f>
        <v/>
      </c>
      <c r="J9" s="5">
        <f>SUM(J2:J8)</f>
        <v/>
      </c>
    </row>
    <row r="11">
      <c r="A11" s="2" t="inlineStr">
        <is>
          <t>Supuesto: ~12–15% de los leads se convierten en alumnos; ajusta con tus datos reales en las columnas H–J.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2026-10-13T05:15:28Z</dcterms:created>
  <dcterms:modified xmlns:dcterms="http://purl.org/dc/terms/" xmlns:xsi="http://www.w3.org/2001/XMLSchema-instance" xsi:type="dcterms:W3CDTF">2026-10-13T05:15:28Z</dcterms:modified>
</cp:coreProperties>
</file>