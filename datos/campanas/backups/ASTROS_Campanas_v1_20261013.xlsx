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ampanas" sheetId="2" state="visible" r:id="rId2"/>
    <sheet xmlns:r="http://schemas.openxmlformats.org/officeDocument/2006/relationships" name="Calendario" sheetId="3" state="visible" r:id="rId3"/>
    <sheet xmlns:r="http://schemas.openxmlformats.org/officeDocument/2006/relationships" name="WhatsApp" sheetId="4" state="visible" r:id="rId4"/>
    <sheet xmlns:r="http://schemas.openxmlformats.org/officeDocument/2006/relationships" name="Presupuesto" sheetId="5" state="visible" r:id="rId5"/>
  </sheets>
  <definedNames>
    <definedName name="_xlnm._FilterDatabase" localSheetId="2" hidden="1">'Calendario'!$A$1:$J$122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S/ &quot;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B2533"/>
    </font>
    <font>
      <b val="1"/>
    </font>
  </fonts>
  <fills count="4">
    <fill>
      <patternFill/>
    </fill>
    <fill>
      <patternFill patternType="gray125"/>
    </fill>
    <fill>
      <patternFill patternType="solid">
        <fgColor rgb="000B2533"/>
      </patternFill>
    </fill>
    <fill>
      <patternFill patternType="solid">
        <fgColor rgb="00F9C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53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ASTROS · Plan de campañas oct 2026 – abr 2027</t>
        </is>
      </c>
      <c r="B1" s="2" t="n"/>
    </row>
    <row r="3" ht="34" customHeight="1">
      <c r="A3" s="3" t="inlineStr">
        <is>
          <t>Qué es</t>
        </is>
      </c>
      <c r="B3" s="4" t="inlineStr">
        <is>
          <t>El plan ejecutable de marketing: qué publicar cada semana, con qué texto, para qué campaña y con cuánto presupuesto. Se apoya en el cronograma de admisión (fechas y metas) y en el tarifario aprobado.</t>
        </is>
      </c>
    </row>
    <row r="4" ht="34" customHeight="1">
      <c r="A4" s="3" t="inlineStr">
        <is>
          <t>Campañas</t>
        </is>
      </c>
      <c r="B4" s="4" t="inlineStr">
        <is>
          <t>Una fila por campaña: objetivo, público, oferta con precios, gancho, canales, presupuesto y metas.</t>
        </is>
      </c>
    </row>
    <row r="5" ht="34" customHeight="1">
      <c r="A5" s="3" t="inlineStr">
        <is>
          <t>Calendario</t>
        </is>
      </c>
      <c r="B5" s="4" t="inlineStr">
        <is>
          <t>Semana a semana: 3 publicaciones + 1 difusión por WhatsApp. Cambia la columna Estado a 'Publicado' cuando lo subas.</t>
        </is>
      </c>
    </row>
    <row r="6" ht="34" customHeight="1">
      <c r="A6" s="3" t="inlineStr">
        <is>
          <t>WhatsApp</t>
        </is>
      </c>
      <c r="B6" s="4" t="inlineStr">
        <is>
          <t>Guiones listos para copiar: primer contacto, seguimiento, cierre, recordatorio de inscripción, post-resultado y referidos.</t>
        </is>
      </c>
    </row>
    <row r="7" ht="34" customHeight="1">
      <c r="A7" s="3" t="inlineStr">
        <is>
          <t>Presupuesto</t>
        </is>
      </c>
      <c r="B7" s="4" t="inlineStr">
        <is>
          <t>Inversión en anuncios por campaña y costo por alumno inscrito cuando cargues los resultados reales.</t>
        </is>
      </c>
    </row>
    <row r="8" ht="34" customHeight="1">
      <c r="A8" s="3" t="inlineStr">
        <is>
          <t>Medición</t>
        </is>
      </c>
      <c r="B8" s="4" t="inlineStr">
        <is>
          <t>Cada lead entra al SIG con su código de campaña (SPRINT-PUCP, etc.). El Dashboard del SIG muestra leads, inscritos y ventas por campaña.</t>
        </is>
      </c>
    </row>
    <row r="9" ht="34" customHeight="1">
      <c r="A9" s="3" t="inlineStr">
        <is>
          <t>Ojo</t>
        </is>
      </c>
      <c r="B9" s="4" t="inlineStr">
        <is>
          <t>Las fechas de PUCP Talento (~14/02) y ULIMA egresados (~07/03) no son oficiales todavía: revisa a inicios de noviembre y de enero.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C74F"/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34" customWidth="1" min="8" max="8"/>
    <col width="40" customWidth="1" min="9" max="9"/>
    <col width="40" customWidth="1" min="10" max="10"/>
    <col width="26" customWidth="1" min="11" max="11"/>
    <col width="9" customWidth="1" min="12" max="12"/>
    <col width="8" customWidth="1" min="13" max="13"/>
    <col width="12" customWidth="1" min="14" max="14"/>
    <col width="9" customWidth="1" min="15" max="15"/>
    <col width="9" customWidth="1" min="16" max="16"/>
  </cols>
  <sheetData>
    <row r="1" ht="30" customHeight="1">
      <c r="A1" s="5" t="inlineStr">
        <is>
          <t>Código (SIG)</t>
        </is>
      </c>
      <c r="B1" s="5" t="inlineStr">
        <is>
          <t>Campaña</t>
        </is>
      </c>
      <c r="C1" s="5" t="inlineStr">
        <is>
          <t>Universidad</t>
        </is>
      </c>
      <c r="D1" s="5" t="inlineStr">
        <is>
          <t>Fecha examen</t>
        </is>
      </c>
      <c r="E1" s="5" t="inlineStr">
        <is>
          <t>Cierre inscripción</t>
        </is>
      </c>
      <c r="F1" s="5" t="inlineStr">
        <is>
          <t>Inicio</t>
        </is>
      </c>
      <c r="G1" s="5" t="inlineStr">
        <is>
          <t>Fin</t>
        </is>
      </c>
      <c r="H1" s="5" t="inlineStr">
        <is>
          <t>Público</t>
        </is>
      </c>
      <c r="I1" s="5" t="inlineStr">
        <is>
          <t>Oferta y precios</t>
        </is>
      </c>
      <c r="J1" s="5" t="inlineStr">
        <is>
          <t>Gancho</t>
        </is>
      </c>
      <c r="K1" s="5" t="inlineStr">
        <is>
          <t>Canales</t>
        </is>
      </c>
      <c r="L1" s="5" t="inlineStr">
        <is>
          <t>Ads S/ por día</t>
        </is>
      </c>
      <c r="M1" s="5" t="inlineStr">
        <is>
          <t>Días de ads</t>
        </is>
      </c>
      <c r="N1" s="5" t="inlineStr">
        <is>
          <t>Presupuesto ads (S/)</t>
        </is>
      </c>
      <c r="O1" s="5" t="inlineStr">
        <is>
          <t>Meta leads</t>
        </is>
      </c>
      <c r="P1" s="5" t="inlineStr">
        <is>
          <t>Meta inscritos</t>
        </is>
      </c>
    </row>
    <row r="2" ht="60" customHeight="1">
      <c r="A2" s="4" t="inlineStr">
        <is>
          <t>SPRINT-ULIMA</t>
        </is>
      </c>
      <c r="B2" s="4" t="inlineStr">
        <is>
          <t>Sprint ULIMA</t>
        </is>
      </c>
      <c r="C2" s="4" t="inlineStr">
        <is>
          <t>ULIMA</t>
        </is>
      </c>
      <c r="D2" s="6" t="n">
        <v>46341</v>
      </c>
      <c r="E2" s="6" t="n">
        <v>46332</v>
      </c>
      <c r="F2" s="6" t="n">
        <v>46308</v>
      </c>
      <c r="G2" s="6" t="n">
        <v>46341</v>
      </c>
      <c r="H2" s="4" t="inlineStr">
        <is>
          <t>5.° de secundaria que dará el Examen de Escolares ULIMA</t>
        </is>
      </c>
      <c r="I2" s="4" t="inlineStr">
        <is>
          <t>Pack 12 horas (12 h) S/ 540 · Programa mensual 24 horas (24 h) S/ 960</t>
        </is>
      </c>
      <c r="J2" s="4" t="inlineStr">
        <is>
          <t>Clase diagnóstica gratis de 45 min + plan de 4 semanas hasta el 15/11</t>
        </is>
      </c>
      <c r="K2" s="4" t="inlineStr">
        <is>
          <t>IG Reels, historias, WhatsApp, web</t>
        </is>
      </c>
      <c r="L2" s="4" t="n">
        <v>20</v>
      </c>
      <c r="M2" s="4" t="n">
        <v>21</v>
      </c>
      <c r="N2" s="7">
        <f>L2*M2</f>
        <v/>
      </c>
      <c r="O2" t="n">
        <v>40</v>
      </c>
      <c r="P2" t="n">
        <v>5</v>
      </c>
    </row>
    <row r="3" ht="60" customHeight="1">
      <c r="A3" s="4" t="inlineStr">
        <is>
          <t>SPRINT-PUCP</t>
        </is>
      </c>
      <c r="B3" s="4" t="inlineStr">
        <is>
          <t>Sprint Primera Opción PUCP</t>
        </is>
      </c>
      <c r="C3" s="4" t="inlineStr">
        <is>
          <t>PUCP</t>
        </is>
      </c>
      <c r="D3" s="6" t="n">
        <v>46355</v>
      </c>
      <c r="E3" s="4" t="n"/>
      <c r="F3" s="6" t="n">
        <v>46309</v>
      </c>
      <c r="G3" s="6" t="n">
        <v>46355</v>
      </c>
      <c r="H3" s="4" t="inlineStr">
        <is>
          <t>5.° de secundaria que dará La Primera Opción PUCP (y ARS 3.ª convocatoria)</t>
        </is>
      </c>
      <c r="I3" s="4" t="inlineStr">
        <is>
          <t>Pack 12 horas (12 h) S/ 540 · Programa mensual 24 horas (24 h) S/ 960</t>
        </is>
      </c>
      <c r="J3" s="4" t="inlineStr">
        <is>
          <t>Simulacro diagnóstico gratis tipo PUCP con solucionario + clase diagnóstica de 45 min</t>
        </is>
      </c>
      <c r="K3" s="4" t="inlineStr">
        <is>
          <t>IG, FB, grupos de padres, WhatsApp, web</t>
        </is>
      </c>
      <c r="L3" s="4" t="n">
        <v>25</v>
      </c>
      <c r="M3" s="4" t="n">
        <v>28</v>
      </c>
      <c r="N3" s="7">
        <f>L3*M3</f>
        <v/>
      </c>
      <c r="O3" t="n">
        <v>60</v>
      </c>
      <c r="P3" t="n">
        <v>8</v>
      </c>
    </row>
    <row r="4" ht="60" customHeight="1">
      <c r="A4" s="4" t="inlineStr">
        <is>
          <t>REFUERZO-CEPU</t>
        </is>
      </c>
      <c r="B4" s="4" t="inlineStr">
        <is>
          <t>Refuerzo CEPU Cayetano</t>
        </is>
      </c>
      <c r="C4" s="4" t="inlineStr">
        <is>
          <t>UPCH</t>
        </is>
      </c>
      <c r="D4" s="6" t="n">
        <v>46355</v>
      </c>
      <c r="E4" s="4" t="n"/>
      <c r="F4" s="6" t="n">
        <v>46315</v>
      </c>
      <c r="G4" s="6" t="n">
        <v>46355</v>
      </c>
      <c r="H4" s="4" t="inlineStr">
        <is>
          <t>Alumnos de CEPU II (Pre Cayetano) antes de su 3.er examen</t>
        </is>
      </c>
      <c r="I4" s="4" t="inlineStr">
        <is>
          <t>Hora suelta (1 h) S/ 50 · Grupo 2-3 alumnos (por alumno) (1 h) S/ 35</t>
        </is>
      </c>
      <c r="J4" s="4" t="inlineStr">
        <is>
          <t>Tutoría por curso (Biología, Química, RM) en hora suelta o en grupo de 2-3</t>
        </is>
      </c>
      <c r="K4" s="4" t="inlineStr">
        <is>
          <t>IG, referidos, WhatsApp</t>
        </is>
      </c>
      <c r="L4" s="4" t="n">
        <v>10</v>
      </c>
      <c r="M4" s="4" t="n">
        <v>14</v>
      </c>
      <c r="N4" s="7">
        <f>L4*M4</f>
        <v/>
      </c>
      <c r="O4" t="n">
        <v>15</v>
      </c>
      <c r="P4" t="n">
        <v>3</v>
      </c>
    </row>
    <row r="5" ht="60" customHeight="1">
      <c r="A5" s="4" t="inlineStr">
        <is>
          <t>MEDICINA-UPCH</t>
        </is>
      </c>
      <c r="B5" s="4" t="inlineStr">
        <is>
          <t>Ciclo Medicina Cayetano</t>
        </is>
      </c>
      <c r="C5" s="4" t="inlineStr">
        <is>
          <t>UPCH</t>
        </is>
      </c>
      <c r="D5" s="6" t="n">
        <v>46404</v>
      </c>
      <c r="E5" s="6" t="n">
        <v>46398</v>
      </c>
      <c r="F5" s="6" t="n">
        <v>46342</v>
      </c>
      <c r="G5" s="6" t="n">
        <v>46404</v>
      </c>
      <c r="H5" s="4" t="inlineStr">
        <is>
          <t>5.° de secundaria y egresados que postulan a Medicina UPCH</t>
        </is>
      </c>
      <c r="I5" s="4" t="inlineStr">
        <is>
          <t>Programa mensual 24 horas (24 h) S/ 960</t>
        </is>
      </c>
      <c r="J5" s="4" t="inlineStr">
        <is>
          <t>Webinar gratis 'Medicina UPCH en 8 semanas' + simulacro semanal</t>
        </is>
      </c>
      <c r="K5" s="4" t="inlineStr">
        <is>
          <t>IG Ads segmentado, FB, web, WhatsApp</t>
        </is>
      </c>
      <c r="L5" s="4" t="n">
        <v>25</v>
      </c>
      <c r="M5" s="4" t="n">
        <v>35</v>
      </c>
      <c r="N5" s="7">
        <f>L5*M5</f>
        <v/>
      </c>
      <c r="O5" t="n">
        <v>40</v>
      </c>
      <c r="P5" t="n">
        <v>6</v>
      </c>
    </row>
    <row r="6" ht="60" customHeight="1">
      <c r="A6" s="4" t="inlineStr">
        <is>
          <t>VERANO-PUCP</t>
        </is>
      </c>
      <c r="B6" s="4" t="inlineStr">
        <is>
          <t>Ciclo Verano Talento PUCP</t>
        </is>
      </c>
      <c r="C6" s="4" t="inlineStr">
        <is>
          <t>PUCP</t>
        </is>
      </c>
      <c r="D6" s="6" t="n">
        <v>46432</v>
      </c>
      <c r="E6" s="4" t="n"/>
      <c r="F6" s="6" t="n">
        <v>46357</v>
      </c>
      <c r="G6" s="6" t="n">
        <v>46432</v>
      </c>
      <c r="H6" s="4" t="inlineStr">
        <is>
          <t>Egresados y quienes no ingresaron el 29/11 (Evaluación del Talento, fecha por confirmar)</t>
        </is>
      </c>
      <c r="I6" s="4" t="inlineStr">
        <is>
          <t>Programa mensual 24 horas (24 h) S/ 960 · Grupo 2-3 alumnos (por alumno) (1 h) S/ 35</t>
        </is>
      </c>
      <c r="J6" s="4" t="inlineStr">
        <is>
          <t>'Segunda oportunidad en febrero': diagnóstico gratis + ciclo de verano</t>
        </is>
      </c>
      <c r="K6" s="4" t="inlineStr">
        <is>
          <t>IG Ads, WhatsApp a leads no ingresantes</t>
        </is>
      </c>
      <c r="L6" s="4" t="n">
        <v>20</v>
      </c>
      <c r="M6" s="4" t="n">
        <v>30</v>
      </c>
      <c r="N6" s="7">
        <f>L6*M6</f>
        <v/>
      </c>
      <c r="O6" t="n">
        <v>50</v>
      </c>
      <c r="P6" t="n">
        <v>8</v>
      </c>
    </row>
    <row r="7" ht="60" customHeight="1">
      <c r="A7" s="4" t="inlineStr">
        <is>
          <t>VERANO-ULIMA</t>
        </is>
      </c>
      <c r="B7" s="4" t="inlineStr">
        <is>
          <t>Ciclo Verano ULIMA egresados</t>
        </is>
      </c>
      <c r="C7" s="4" t="inlineStr">
        <is>
          <t>ULIMA</t>
        </is>
      </c>
      <c r="D7" s="6" t="n">
        <v>46453</v>
      </c>
      <c r="E7" s="4" t="n"/>
      <c r="F7" s="6" t="n">
        <v>46357</v>
      </c>
      <c r="G7" s="6" t="n">
        <v>46453</v>
      </c>
      <c r="H7" s="4" t="inlineStr">
        <is>
          <t>Egresados que darán el examen ULIMA 2027-1B (fecha no oficial)</t>
        </is>
      </c>
      <c r="I7" s="4" t="inlineStr">
        <is>
          <t>Programa mensual 24 horas (24 h) S/ 960 · Pack 12 horas (12 h) S/ 540</t>
        </is>
      </c>
      <c r="J7" s="4" t="inlineStr">
        <is>
          <t>Simulacro diagnóstico + ciclo de verano</t>
        </is>
      </c>
      <c r="K7" s="4" t="inlineStr">
        <is>
          <t>IG, FB, WhatsApp</t>
        </is>
      </c>
      <c r="L7" s="4" t="n">
        <v>15</v>
      </c>
      <c r="M7" s="4" t="n">
        <v>25</v>
      </c>
      <c r="N7" s="7">
        <f>L7*M7</f>
        <v/>
      </c>
      <c r="O7" t="n">
        <v>30</v>
      </c>
      <c r="P7" t="n">
        <v>5</v>
      </c>
    </row>
    <row r="8" ht="60" customHeight="1">
      <c r="A8" s="4" t="inlineStr">
        <is>
          <t>CACHIMBOS</t>
        </is>
      </c>
      <c r="B8" s="4" t="inlineStr">
        <is>
          <t>Tutoría Cachimbos</t>
        </is>
      </c>
      <c r="C8" s="4" t="inlineStr">
        <is>
          <t>Universitario</t>
        </is>
      </c>
      <c r="D8" s="6" t="n">
        <v>46475</v>
      </c>
      <c r="E8" s="4" t="n"/>
      <c r="F8" s="6" t="n">
        <v>46357</v>
      </c>
      <c r="G8" s="6" t="n">
        <v>46507</v>
      </c>
      <c r="H8" s="4" t="inlineStr">
        <is>
          <t>Ingresantes 2027-1 de PUCP, ULIMA, UPC y UPCH (Cálculo, Física, Química, Estadística)</t>
        </is>
      </c>
      <c r="I8" s="4" t="inlineStr">
        <is>
          <t>Práctica (4 h) S/ 220 · Medio ciclo (16 h) S/ 760 · Ciclo completo (32 h) S/ 1,440 · Grupo 2-3 alumnos (por alumno) (1 h) S/ 40</t>
        </is>
      </c>
      <c r="J8" s="4" t="inlineStr">
        <is>
          <t>Lista de espera en diciembre; paquetes por curso desde marzo</t>
        </is>
      </c>
      <c r="K8" s="4" t="inlineStr">
        <is>
          <t>IG, grupos de ingresantes, referidos</t>
        </is>
      </c>
      <c r="L8" s="4" t="n">
        <v>15</v>
      </c>
      <c r="M8" s="4" t="n">
        <v>30</v>
      </c>
      <c r="N8" s="7">
        <f>L8*M8</f>
        <v/>
      </c>
      <c r="O8" t="n">
        <v>40</v>
      </c>
      <c r="P8" t="n">
        <v>10</v>
      </c>
    </row>
    <row r="9" ht="60" customHeight="1">
      <c r="A9" s="4" t="inlineStr">
        <is>
          <t>REFERIDOS</t>
        </is>
      </c>
      <c r="B9" s="4" t="inlineStr">
        <is>
          <t>Trae a tu tripulación</t>
        </is>
      </c>
      <c r="C9" s="4" t="inlineStr">
        <is>
          <t>Todas</t>
        </is>
      </c>
      <c r="D9" s="4" t="n"/>
      <c r="E9" s="4" t="n"/>
      <c r="F9" s="6" t="n">
        <v>46356</v>
      </c>
      <c r="G9" s="6" t="n">
        <v>46507</v>
      </c>
      <c r="H9" s="4" t="inlineStr">
        <is>
          <t>Alumnos y ex alumnos de ASTROS</t>
        </is>
      </c>
      <c r="I9" s="4" t="inlineStr">
        <is>
          <t>—</t>
        </is>
      </c>
      <c r="J9" s="4" t="inlineStr">
        <is>
          <t>1 hora gratis por cada referido que compra un paquete (política de precios)</t>
        </is>
      </c>
      <c r="K9" s="4" t="inlineStr">
        <is>
          <t>WhatsApp, IG</t>
        </is>
      </c>
      <c r="L9" s="4" t="n">
        <v>0</v>
      </c>
      <c r="M9" s="4" t="n">
        <v>0</v>
      </c>
      <c r="N9" s="7">
        <f>L9*M9</f>
        <v/>
      </c>
      <c r="O9" t="n">
        <v>20</v>
      </c>
      <c r="P9" t="n">
        <v>5</v>
      </c>
    </row>
    <row r="10" ht="60" customHeight="1">
      <c r="A10" s="4" t="inlineStr">
        <is>
          <t>ORGANICO</t>
        </is>
      </c>
      <c r="B10" s="4" t="inlineStr">
        <is>
          <t>Contenido de marca</t>
        </is>
      </c>
      <c r="C10" s="4" t="inlineStr">
        <is>
          <t>Todas</t>
        </is>
      </c>
      <c r="D10" s="4" t="n"/>
      <c r="E10" s="4" t="n"/>
      <c r="F10" s="6" t="n">
        <v>46308</v>
      </c>
      <c r="G10" s="6" t="n">
        <v>46507</v>
      </c>
      <c r="H10" s="4" t="inlineStr">
        <is>
          <t>Comunidad de @1.masesores</t>
        </is>
      </c>
      <c r="I10" s="4" t="inlineStr">
        <is>
          <t>—</t>
        </is>
      </c>
      <c r="J10" s="4" t="inlineStr">
        <is>
          <t>Frases ASTROS, tips de estudio, testimonios</t>
        </is>
      </c>
      <c r="K10" s="4" t="inlineStr">
        <is>
          <t>IG, FB, TikTok</t>
        </is>
      </c>
      <c r="L10" s="4" t="n">
        <v>0</v>
      </c>
      <c r="M10" s="4" t="n">
        <v>0</v>
      </c>
      <c r="N10" s="7">
        <f>L10*M10</f>
        <v/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A2A6"/>
    <outlinePr summaryBelow="1" summaryRight="1"/>
    <pageSetUpPr/>
  </sheetPr>
  <dimension ref="A1:J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6" customWidth="1" min="4" max="4"/>
    <col width="16" customWidth="1" min="5" max="5"/>
    <col width="14" customWidth="1" min="6" max="6"/>
    <col width="70" customWidth="1" min="7" max="7"/>
    <col width="34" customWidth="1" min="8" max="8"/>
    <col width="12" customWidth="1" min="9" max="9"/>
    <col width="20" customWidth="1" min="10" max="10"/>
  </cols>
  <sheetData>
    <row r="1" ht="30" customHeight="1">
      <c r="A1" s="5" t="inlineStr">
        <is>
          <t>Semana (lunes)</t>
        </is>
      </c>
      <c r="B1" s="5" t="inlineStr">
        <is>
          <t>Día</t>
        </is>
      </c>
      <c r="C1" s="5" t="inlineStr">
        <is>
          <t>Fecha</t>
        </is>
      </c>
      <c r="D1" s="5" t="inlineStr">
        <is>
          <t>Campaña</t>
        </is>
      </c>
      <c r="E1" s="5" t="inlineStr">
        <is>
          <t>Formato</t>
        </is>
      </c>
      <c r="F1" s="5" t="inlineStr">
        <is>
          <t>Fase</t>
        </is>
      </c>
      <c r="G1" s="5" t="inlineStr">
        <is>
          <t>Idea / texto sugerido</t>
        </is>
      </c>
      <c r="H1" s="5" t="inlineStr">
        <is>
          <t>Llamado a la acción</t>
        </is>
      </c>
      <c r="I1" s="5" t="inlineStr">
        <is>
          <t>Estado</t>
        </is>
      </c>
      <c r="J1" s="5" t="inlineStr">
        <is>
          <t>Notas</t>
        </is>
      </c>
    </row>
    <row r="2">
      <c r="A2" s="6" t="n">
        <v>46307</v>
      </c>
      <c r="B2" s="4" t="inlineStr">
        <is>
          <t>mié</t>
        </is>
      </c>
      <c r="C2" s="6" t="n">
        <v>46309</v>
      </c>
      <c r="D2" s="4" t="inlineStr">
        <is>
          <t>SPRINT-PUCP</t>
        </is>
      </c>
      <c r="E2" s="4" t="inlineStr">
        <is>
          <t>Carrusel</t>
        </is>
      </c>
      <c r="F2" s="4" t="inlineStr">
        <is>
          <t>Lanzamiento</t>
        </is>
      </c>
      <c r="G2" s="4" t="inlineStr">
        <is>
          <t>Carrusel: 'Cómo es La Primera Opción PUCP': áreas que evalúa y cómo prepararte en 6 semanas.</t>
        </is>
      </c>
      <c r="H2" s="4" t="inlineStr">
        <is>
          <t>Escribe 'DIAGNÓSTICO' al 902 155 458</t>
        </is>
      </c>
      <c r="I2" s="4" t="inlineStr">
        <is>
          <t>Pendiente</t>
        </is>
      </c>
      <c r="J2" s="4" t="inlineStr"/>
    </row>
    <row r="3">
      <c r="A3" s="6" t="n">
        <v>46307</v>
      </c>
      <c r="B3" s="4" t="inlineStr">
        <is>
          <t>mié</t>
        </is>
      </c>
      <c r="C3" s="6" t="n">
        <v>46309</v>
      </c>
      <c r="D3" s="4" t="inlineStr">
        <is>
          <t>SPRINT-ULIMA</t>
        </is>
      </c>
      <c r="E3" s="4" t="inlineStr">
        <is>
          <t>Historia</t>
        </is>
      </c>
      <c r="F3" s="4" t="inlineStr">
        <is>
          <t>Urgencia</t>
        </is>
      </c>
      <c r="G3" s="4" t="inlineStr">
        <is>
          <t>HITO: Rendimiento Académico ULIMA cierra el 16/10: 'Te preparo para la entrevista'.</t>
        </is>
      </c>
      <c r="H3" s="4" t="inlineStr">
        <is>
          <t>Escribe 'ULIMA' al 902 155 458</t>
        </is>
      </c>
      <c r="I3" s="4" t="inlineStr">
        <is>
          <t>Pendiente</t>
        </is>
      </c>
      <c r="J3" s="4" t="inlineStr"/>
    </row>
    <row r="4">
      <c r="A4" s="6" t="n">
        <v>46307</v>
      </c>
      <c r="B4" s="4" t="inlineStr">
        <is>
          <t>vie</t>
        </is>
      </c>
      <c r="C4" s="6" t="n">
        <v>46311</v>
      </c>
      <c r="D4" s="4" t="inlineStr">
        <is>
          <t>SPRINT-ULIMA</t>
        </is>
      </c>
      <c r="E4" s="4" t="inlineStr">
        <is>
          <t>Historia</t>
        </is>
      </c>
      <c r="F4" s="4" t="inlineStr">
        <is>
          <t>Lanzamiento</t>
        </is>
      </c>
      <c r="G4" s="4" t="inlineStr">
        <is>
          <t>Historia con encuesta: '¿Ya sabes en qué área estás más débil para el Examen de Escolares ULIMA?' Sí / No → link a WhatsApp.</t>
        </is>
      </c>
      <c r="H4" s="4" t="inlineStr">
        <is>
          <t>Escribe 'DIAGNÓSTICO' al 902 155 458</t>
        </is>
      </c>
      <c r="I4" s="4" t="inlineStr">
        <is>
          <t>Pendiente</t>
        </is>
      </c>
      <c r="J4" s="4" t="inlineStr"/>
    </row>
    <row r="5">
      <c r="A5" s="6" t="n">
        <v>46307</v>
      </c>
      <c r="B5" s="4" t="inlineStr">
        <is>
          <t>sáb</t>
        </is>
      </c>
      <c r="C5" s="6" t="n">
        <v>46312</v>
      </c>
      <c r="D5" s="4" t="inlineStr">
        <is>
          <t>SPRINT-ULIMA</t>
        </is>
      </c>
      <c r="E5" s="4" t="inlineStr">
        <is>
          <t>WhatsApp</t>
        </is>
      </c>
      <c r="F5" s="4" t="inlineStr">
        <is>
          <t>Lanzamiento</t>
        </is>
      </c>
      <c r="G5" s="4" t="inlineStr">
        <is>
          <t>Difusión: guion 'Primer contacto' adaptado al Examen de Escolares ULIMA. Ofrece el diagnóstico gratis.</t>
        </is>
      </c>
      <c r="H5" s="4" t="inlineStr">
        <is>
          <t>Escribe 'DIAGNÓSTICO' al 902 155 458</t>
        </is>
      </c>
      <c r="I5" s="4" t="inlineStr">
        <is>
          <t>Pendiente</t>
        </is>
      </c>
      <c r="J5" s="4" t="inlineStr"/>
    </row>
    <row r="6">
      <c r="A6" s="6" t="n">
        <v>46314</v>
      </c>
      <c r="B6" s="4" t="inlineStr">
        <is>
          <t>lun</t>
        </is>
      </c>
      <c r="C6" s="6" t="n">
        <v>46314</v>
      </c>
      <c r="D6" s="4" t="inlineStr">
        <is>
          <t>SPRINT-ULIMA</t>
        </is>
      </c>
      <c r="E6" s="4" t="inlineStr">
        <is>
          <t>Reel</t>
        </is>
      </c>
      <c r="F6" s="4" t="inlineStr">
        <is>
          <t>Lanzamiento</t>
        </is>
      </c>
      <c r="G6" s="4" t="inlineStr">
        <is>
          <t>Reel: 'Un día de estudio con ASTROS': clase virtual, pizarra digital y grabación en Drive, rumbo al Examen de Escolares ULIMA.</t>
        </is>
      </c>
      <c r="H6" s="4" t="inlineStr">
        <is>
          <t>Escribe 'DIAGNÓSTICO' al 902 155 458</t>
        </is>
      </c>
      <c r="I6" s="4" t="inlineStr">
        <is>
          <t>Pendiente</t>
        </is>
      </c>
      <c r="J6" s="4" t="inlineStr"/>
    </row>
    <row r="7">
      <c r="A7" s="6" t="n">
        <v>46314</v>
      </c>
      <c r="B7" s="4" t="inlineStr">
        <is>
          <t>mié</t>
        </is>
      </c>
      <c r="C7" s="6" t="n">
        <v>46316</v>
      </c>
      <c r="D7" s="4" t="inlineStr">
        <is>
          <t>SPRINT-PUCP</t>
        </is>
      </c>
      <c r="E7" s="4" t="inlineStr">
        <is>
          <t>Carrusel</t>
        </is>
      </c>
      <c r="F7" s="4" t="inlineStr">
        <is>
          <t>Lanzamiento</t>
        </is>
      </c>
      <c r="G7" s="4" t="inlineStr">
        <is>
          <t>Carrusel: plan semana a semana para La Primera Opción PUCP (qué estudiar cada semana).</t>
        </is>
      </c>
      <c r="H7" s="4" t="inlineStr">
        <is>
          <t>Escribe 'DIAGNÓSTICO' al 902 155 458</t>
        </is>
      </c>
      <c r="I7" s="4" t="inlineStr">
        <is>
          <t>Pendiente</t>
        </is>
      </c>
      <c r="J7" s="4" t="inlineStr"/>
    </row>
    <row r="8">
      <c r="A8" s="6" t="n">
        <v>46314</v>
      </c>
      <c r="B8" s="4" t="inlineStr">
        <is>
          <t>vie</t>
        </is>
      </c>
      <c r="C8" s="6" t="n">
        <v>46318</v>
      </c>
      <c r="D8" s="4" t="inlineStr">
        <is>
          <t>SPRINT-ULIMA</t>
        </is>
      </c>
      <c r="E8" s="4" t="inlineStr">
        <is>
          <t>Historia</t>
        </is>
      </c>
      <c r="F8" s="4" t="inlineStr">
        <is>
          <t>Lanzamiento</t>
        </is>
      </c>
      <c r="G8" s="4" t="inlineStr">
        <is>
          <t>Historia: caja de preguntas '¿Qué tema te da más miedo?' y responder con mini videos.</t>
        </is>
      </c>
      <c r="H8" s="4" t="inlineStr">
        <is>
          <t>Escribe 'DIAGNÓSTICO' al 902 155 458</t>
        </is>
      </c>
      <c r="I8" s="4" t="inlineStr">
        <is>
          <t>Pendiente</t>
        </is>
      </c>
      <c r="J8" s="4" t="inlineStr"/>
    </row>
    <row r="9">
      <c r="A9" s="6" t="n">
        <v>46314</v>
      </c>
      <c r="B9" s="4" t="inlineStr">
        <is>
          <t>sáb</t>
        </is>
      </c>
      <c r="C9" s="6" t="n">
        <v>46319</v>
      </c>
      <c r="D9" s="4" t="inlineStr">
        <is>
          <t>SPRINT-ULIMA</t>
        </is>
      </c>
      <c r="E9" s="4" t="inlineStr">
        <is>
          <t>WhatsApp</t>
        </is>
      </c>
      <c r="F9" s="4" t="inlineStr">
        <is>
          <t>Lanzamiento</t>
        </is>
      </c>
      <c r="G9" s="4" t="inlineStr">
        <is>
          <t>Difusión: guion 'Seguimiento' a quienes preguntaron y no agendaron diagnóstico.</t>
        </is>
      </c>
      <c r="H9" s="4" t="inlineStr">
        <is>
          <t>Escribe 'DIAGNÓSTICO' al 902 155 458</t>
        </is>
      </c>
      <c r="I9" s="4" t="inlineStr">
        <is>
          <t>Pendiente</t>
        </is>
      </c>
      <c r="J9" s="4" t="inlineStr"/>
    </row>
    <row r="10">
      <c r="A10" s="6" t="n">
        <v>46321</v>
      </c>
      <c r="B10" s="4" t="inlineStr">
        <is>
          <t>lun</t>
        </is>
      </c>
      <c r="C10" s="6" t="n">
        <v>46321</v>
      </c>
      <c r="D10" s="4" t="inlineStr">
        <is>
          <t>SPRINT-ULIMA</t>
        </is>
      </c>
      <c r="E10" s="4" t="inlineStr">
        <is>
          <t>Reel</t>
        </is>
      </c>
      <c r="F10" s="4" t="inlineStr">
        <is>
          <t>Valor</t>
        </is>
      </c>
      <c r="G10" s="4" t="inlineStr">
        <is>
          <t>Reel: resolver en 60 segundos una pregunta tipo ULIMA del banco ASTROS. Cerrar con 'quedan 20 días'.</t>
        </is>
      </c>
      <c r="H10" s="4" t="inlineStr">
        <is>
          <t>Escribe 'DIAGNÓSTICO' al 902 155 458</t>
        </is>
      </c>
      <c r="I10" s="4" t="inlineStr">
        <is>
          <t>Pendiente</t>
        </is>
      </c>
      <c r="J10" s="4" t="inlineStr"/>
    </row>
    <row r="11">
      <c r="A11" s="6" t="n">
        <v>46321</v>
      </c>
      <c r="B11" s="4" t="inlineStr">
        <is>
          <t>mié</t>
        </is>
      </c>
      <c r="C11" s="6" t="n">
        <v>46323</v>
      </c>
      <c r="D11" s="4" t="inlineStr">
        <is>
          <t>SPRINT-PUCP</t>
        </is>
      </c>
      <c r="E11" s="4" t="inlineStr">
        <is>
          <t>Carrusel</t>
        </is>
      </c>
      <c r="F11" s="4" t="inlineStr">
        <is>
          <t>Lanzamiento</t>
        </is>
      </c>
      <c r="G11" s="4" t="inlineStr">
        <is>
          <t>Carrusel: 'Academia grande vs. tutoría personalizada' para La Primera Opción PUCP: horarios, atención y avance medible.</t>
        </is>
      </c>
      <c r="H11" s="4" t="inlineStr">
        <is>
          <t>Escribe 'DIAGNÓSTICO' al 902 155 458</t>
        </is>
      </c>
      <c r="I11" s="4" t="inlineStr">
        <is>
          <t>Pendiente</t>
        </is>
      </c>
      <c r="J11" s="4" t="inlineStr"/>
    </row>
    <row r="12">
      <c r="A12" s="6" t="n">
        <v>46321</v>
      </c>
      <c r="B12" s="4" t="inlineStr">
        <is>
          <t>vie</t>
        </is>
      </c>
      <c r="C12" s="6" t="n">
        <v>46325</v>
      </c>
      <c r="D12" s="4" t="inlineStr">
        <is>
          <t>SPRINT-ULIMA</t>
        </is>
      </c>
      <c r="E12" s="4" t="inlineStr">
        <is>
          <t>Historia</t>
        </is>
      </c>
      <c r="F12" s="4" t="inlineStr">
        <is>
          <t>Valor</t>
        </is>
      </c>
      <c r="G12" s="4" t="inlineStr">
        <is>
          <t>Historia: reto diario de 1 pregunta del banco con respuesta al día siguiente.</t>
        </is>
      </c>
      <c r="H12" s="4" t="inlineStr">
        <is>
          <t>Escribe 'DIAGNÓSTICO' al 902 155 458</t>
        </is>
      </c>
      <c r="I12" s="4" t="inlineStr">
        <is>
          <t>Pendiente</t>
        </is>
      </c>
      <c r="J12" s="4" t="inlineStr"/>
    </row>
    <row r="13">
      <c r="A13" s="6" t="n">
        <v>46321</v>
      </c>
      <c r="B13" s="4" t="inlineStr">
        <is>
          <t>sáb</t>
        </is>
      </c>
      <c r="C13" s="6" t="n">
        <v>46326</v>
      </c>
      <c r="D13" s="4" t="inlineStr">
        <is>
          <t>SPRINT-ULIMA</t>
        </is>
      </c>
      <c r="E13" s="4" t="inlineStr">
        <is>
          <t>WhatsApp</t>
        </is>
      </c>
      <c r="F13" s="4" t="inlineStr">
        <is>
          <t>Valor</t>
        </is>
      </c>
      <c r="G13" s="4" t="inlineStr">
        <is>
          <t>Difusión: guion 'Seguimiento' a leads que no se inscribieron + envío de mini simulacro PDF.</t>
        </is>
      </c>
      <c r="H13" s="4" t="inlineStr">
        <is>
          <t>Escribe 'DIAGNÓSTICO' al 902 155 458</t>
        </is>
      </c>
      <c r="I13" s="4" t="inlineStr">
        <is>
          <t>Pendiente</t>
        </is>
      </c>
      <c r="J13" s="4" t="inlineStr"/>
    </row>
    <row r="14">
      <c r="A14" s="6" t="n">
        <v>46328</v>
      </c>
      <c r="B14" s="4" t="inlineStr">
        <is>
          <t>lun</t>
        </is>
      </c>
      <c r="C14" s="6" t="n">
        <v>46328</v>
      </c>
      <c r="D14" s="4" t="inlineStr">
        <is>
          <t>ORGANICO</t>
        </is>
      </c>
      <c r="E14" s="4" t="inlineStr">
        <is>
          <t>Tarea</t>
        </is>
      </c>
      <c r="F14" s="4" t="inlineStr">
        <is>
          <t>Siempre</t>
        </is>
      </c>
      <c r="G14" s="4" t="inlineStr">
        <is>
          <t>HITO: Verificar fechas no publicadas (PUCP Talento, ULIMA egresados, UPC) y actualizar este plan.</t>
        </is>
      </c>
      <c r="H14" s="4" t="inlineStr">
        <is>
          <t>—</t>
        </is>
      </c>
      <c r="I14" s="4" t="inlineStr">
        <is>
          <t>Pendiente</t>
        </is>
      </c>
      <c r="J14" s="4" t="inlineStr"/>
    </row>
    <row r="15">
      <c r="A15" s="6" t="n">
        <v>46328</v>
      </c>
      <c r="B15" s="4" t="inlineStr">
        <is>
          <t>lun</t>
        </is>
      </c>
      <c r="C15" s="6" t="n">
        <v>46328</v>
      </c>
      <c r="D15" s="4" t="inlineStr">
        <is>
          <t>SPRINT-ULIMA</t>
        </is>
      </c>
      <c r="E15" s="4" t="inlineStr">
        <is>
          <t>Reel</t>
        </is>
      </c>
      <c r="F15" s="4" t="inlineStr">
        <is>
          <t>Valor</t>
        </is>
      </c>
      <c r="G15" s="4" t="inlineStr">
        <is>
          <t>Reel: 'El truco para no perder tiempo en Razonamiento Matemático' (pregunta del banco tipo ULIMA).</t>
        </is>
      </c>
      <c r="H15" s="4" t="inlineStr">
        <is>
          <t>Escribe 'DIAGNÓSTICO' al 902 155 458</t>
        </is>
      </c>
      <c r="I15" s="4" t="inlineStr">
        <is>
          <t>Pendiente</t>
        </is>
      </c>
      <c r="J15" s="4" t="inlineStr"/>
    </row>
    <row r="16">
      <c r="A16" s="6" t="n">
        <v>46328</v>
      </c>
      <c r="B16" s="4" t="inlineStr">
        <is>
          <t>mar</t>
        </is>
      </c>
      <c r="C16" s="6" t="n">
        <v>46329</v>
      </c>
      <c r="D16" s="4" t="inlineStr">
        <is>
          <t>SPRINT-ULIMA</t>
        </is>
      </c>
      <c r="E16" s="4" t="inlineStr">
        <is>
          <t>WhatsApp</t>
        </is>
      </c>
      <c r="F16" s="4" t="inlineStr">
        <is>
          <t>Urgencia</t>
        </is>
      </c>
      <c r="G16" s="4" t="inlineStr">
        <is>
          <t>HITO: Recordatorio: la inscripción al examen ULIMA cierra el 06/11 a las 18:00.</t>
        </is>
      </c>
      <c r="H16" s="4" t="inlineStr">
        <is>
          <t>Responder 'LISTO' si ya te inscribiste</t>
        </is>
      </c>
      <c r="I16" s="4" t="inlineStr">
        <is>
          <t>Pendiente</t>
        </is>
      </c>
      <c r="J16" s="4" t="inlineStr"/>
    </row>
    <row r="17">
      <c r="A17" s="6" t="n">
        <v>46328</v>
      </c>
      <c r="B17" s="4" t="inlineStr">
        <is>
          <t>mié</t>
        </is>
      </c>
      <c r="C17" s="6" t="n">
        <v>46330</v>
      </c>
      <c r="D17" s="4" t="inlineStr">
        <is>
          <t>SPRINT-PUCP</t>
        </is>
      </c>
      <c r="E17" s="4" t="inlineStr">
        <is>
          <t>Carrusel</t>
        </is>
      </c>
      <c r="F17" s="4" t="inlineStr">
        <is>
          <t>Lanzamiento</t>
        </is>
      </c>
      <c r="G17" s="4" t="inlineStr">
        <is>
          <t>Carrusel: 'Cómo es La Primera Opción PUCP': áreas que evalúa y cómo prepararte en 3 semanas.</t>
        </is>
      </c>
      <c r="H17" s="4" t="inlineStr">
        <is>
          <t>Escribe 'DIAGNÓSTICO' al 902 155 458</t>
        </is>
      </c>
      <c r="I17" s="4" t="inlineStr">
        <is>
          <t>Pendiente</t>
        </is>
      </c>
      <c r="J17" s="4" t="inlineStr"/>
    </row>
    <row r="18">
      <c r="A18" s="6" t="n">
        <v>46328</v>
      </c>
      <c r="B18" s="4" t="inlineStr">
        <is>
          <t>vie</t>
        </is>
      </c>
      <c r="C18" s="6" t="n">
        <v>46332</v>
      </c>
      <c r="D18" s="4" t="inlineStr">
        <is>
          <t>SPRINT-ULIMA</t>
        </is>
      </c>
      <c r="E18" s="4" t="inlineStr">
        <is>
          <t>Historia</t>
        </is>
      </c>
      <c r="F18" s="4" t="inlineStr">
        <is>
          <t>Valor</t>
        </is>
      </c>
      <c r="G18" s="4" t="inlineStr">
        <is>
          <t>Historia: resultado del mini simulacro de la semana (promedio del grupo, sin nombres).</t>
        </is>
      </c>
      <c r="H18" s="4" t="inlineStr">
        <is>
          <t>Escribe 'DIAGNÓSTICO' al 902 155 458</t>
        </is>
      </c>
      <c r="I18" s="4" t="inlineStr">
        <is>
          <t>Pendiente</t>
        </is>
      </c>
      <c r="J18" s="4" t="inlineStr"/>
    </row>
    <row r="19">
      <c r="A19" s="6" t="n">
        <v>46328</v>
      </c>
      <c r="B19" s="4" t="inlineStr">
        <is>
          <t>sáb</t>
        </is>
      </c>
      <c r="C19" s="6" t="n">
        <v>46333</v>
      </c>
      <c r="D19" s="4" t="inlineStr">
        <is>
          <t>SPRINT-ULIMA</t>
        </is>
      </c>
      <c r="E19" s="4" t="inlineStr">
        <is>
          <t>WhatsApp</t>
        </is>
      </c>
      <c r="F19" s="4" t="inlineStr">
        <is>
          <t>Valor</t>
        </is>
      </c>
      <c r="G19" s="4" t="inlineStr">
        <is>
          <t>Difusión: invitación al simulacro gratuito del sábado (cupos limitados).</t>
        </is>
      </c>
      <c r="H19" s="4" t="inlineStr">
        <is>
          <t>Escribe 'DIAGNÓSTICO' al 902 155 458</t>
        </is>
      </c>
      <c r="I19" s="4" t="inlineStr">
        <is>
          <t>Pendiente</t>
        </is>
      </c>
      <c r="J19" s="4" t="inlineStr"/>
    </row>
    <row r="20">
      <c r="A20" s="6" t="n">
        <v>46335</v>
      </c>
      <c r="B20" s="4" t="inlineStr">
        <is>
          <t>lun</t>
        </is>
      </c>
      <c r="C20" s="6" t="n">
        <v>46335</v>
      </c>
      <c r="D20" s="4" t="inlineStr">
        <is>
          <t>SPRINT-ULIMA</t>
        </is>
      </c>
      <c r="E20" s="4" t="inlineStr">
        <is>
          <t>Reel</t>
        </is>
      </c>
      <c r="F20" s="4" t="inlineStr">
        <is>
          <t>Urgencia</t>
        </is>
      </c>
      <c r="G20" s="4" t="inlineStr">
        <is>
          <t>Reel: 'Faltan 6 días para el Examen de Escolares ULIMA: esto es lo que haría yo esta semana.'</t>
        </is>
      </c>
      <c r="H20" s="4" t="inlineStr">
        <is>
          <t>Escribe 'DIAGNÓSTICO' al 902 155 458</t>
        </is>
      </c>
      <c r="I20" s="4" t="inlineStr">
        <is>
          <t>Pendiente</t>
        </is>
      </c>
      <c r="J20" s="4" t="inlineStr"/>
    </row>
    <row r="21">
      <c r="A21" s="6" t="n">
        <v>46335</v>
      </c>
      <c r="B21" s="4" t="inlineStr">
        <is>
          <t>mié</t>
        </is>
      </c>
      <c r="C21" s="6" t="n">
        <v>46337</v>
      </c>
      <c r="D21" s="4" t="inlineStr">
        <is>
          <t>SPRINT-PUCP</t>
        </is>
      </c>
      <c r="E21" s="4" t="inlineStr">
        <is>
          <t>Carrusel</t>
        </is>
      </c>
      <c r="F21" s="4" t="inlineStr">
        <is>
          <t>Valor</t>
        </is>
      </c>
      <c r="G21" s="4" t="inlineStr">
        <is>
          <t>Carrusel: '3 errores que cuestan puntos en La Primera Opción PUCP' (tiempo, lectura apurada, no revisar claves).</t>
        </is>
      </c>
      <c r="H21" s="4" t="inlineStr">
        <is>
          <t>Escribe 'DIAGNÓSTICO' al 902 155 458</t>
        </is>
      </c>
      <c r="I21" s="4" t="inlineStr">
        <is>
          <t>Pendiente</t>
        </is>
      </c>
      <c r="J21" s="4" t="inlineStr"/>
    </row>
    <row r="22">
      <c r="A22" s="6" t="n">
        <v>46335</v>
      </c>
      <c r="B22" s="4" t="inlineStr">
        <is>
          <t>vie</t>
        </is>
      </c>
      <c r="C22" s="6" t="n">
        <v>46339</v>
      </c>
      <c r="D22" s="4" t="inlineStr">
        <is>
          <t>SPRINT-ULIMA</t>
        </is>
      </c>
      <c r="E22" s="4" t="inlineStr">
        <is>
          <t>Historia</t>
        </is>
      </c>
      <c r="F22" s="4" t="inlineStr">
        <is>
          <t>Urgencia</t>
        </is>
      </c>
      <c r="G22" s="4" t="inlineStr">
        <is>
          <t>Historia: cuenta regresiva al Examen de Escolares ULIMA + 'últimos cupos para el simulacro final'.</t>
        </is>
      </c>
      <c r="H22" s="4" t="inlineStr">
        <is>
          <t>Escribe 'DIAGNÓSTICO' al 902 155 458</t>
        </is>
      </c>
      <c r="I22" s="4" t="inlineStr">
        <is>
          <t>Pendiente</t>
        </is>
      </c>
      <c r="J22" s="4" t="inlineStr"/>
    </row>
    <row r="23">
      <c r="A23" s="6" t="n">
        <v>46335</v>
      </c>
      <c r="B23" s="4" t="inlineStr">
        <is>
          <t>sáb</t>
        </is>
      </c>
      <c r="C23" s="6" t="n">
        <v>46340</v>
      </c>
      <c r="D23" s="4" t="inlineStr">
        <is>
          <t>SPRINT-ULIMA</t>
        </is>
      </c>
      <c r="E23" s="4" t="inlineStr">
        <is>
          <t>WhatsApp</t>
        </is>
      </c>
      <c r="F23" s="4" t="inlineStr">
        <is>
          <t>Urgencia</t>
        </is>
      </c>
      <c r="G23" s="4" t="inlineStr">
        <is>
          <t>Difusión: guion 'Simulacro final' + recordatorio de inscripción.</t>
        </is>
      </c>
      <c r="H23" s="4" t="inlineStr">
        <is>
          <t>Escribe 'DIAGNÓSTICO' al 902 155 458</t>
        </is>
      </c>
      <c r="I23" s="4" t="inlineStr">
        <is>
          <t>Pendiente</t>
        </is>
      </c>
      <c r="J23" s="4" t="inlineStr"/>
    </row>
    <row r="24">
      <c r="A24" s="6" t="n">
        <v>46342</v>
      </c>
      <c r="B24" s="4" t="inlineStr">
        <is>
          <t>lun</t>
        </is>
      </c>
      <c r="C24" s="6" t="n">
        <v>46342</v>
      </c>
      <c r="D24" s="4" t="inlineStr">
        <is>
          <t>SPRINT-PUCP</t>
        </is>
      </c>
      <c r="E24" s="4" t="inlineStr">
        <is>
          <t>Reel</t>
        </is>
      </c>
      <c r="F24" s="4" t="inlineStr">
        <is>
          <t>Valor</t>
        </is>
      </c>
      <c r="G24" s="4" t="inlineStr">
        <is>
          <t>Reel: 'El truco para no perder tiempo en Razonamiento Matemático' (pregunta del banco tipo PUCP).</t>
        </is>
      </c>
      <c r="H24" s="4" t="inlineStr">
        <is>
          <t>Escribe 'DIAGNÓSTICO' al 902 155 458</t>
        </is>
      </c>
      <c r="I24" s="4" t="inlineStr">
        <is>
          <t>Pendiente</t>
        </is>
      </c>
      <c r="J24" s="4" t="inlineStr"/>
    </row>
    <row r="25">
      <c r="A25" s="6" t="n">
        <v>46342</v>
      </c>
      <c r="B25" s="4" t="inlineStr">
        <is>
          <t>mié</t>
        </is>
      </c>
      <c r="C25" s="6" t="n">
        <v>46344</v>
      </c>
      <c r="D25" s="4" t="inlineStr">
        <is>
          <t>REFUERZO-CEPU</t>
        </is>
      </c>
      <c r="E25" s="4" t="inlineStr">
        <is>
          <t>Carrusel</t>
        </is>
      </c>
      <c r="F25" s="4" t="inlineStr">
        <is>
          <t>Valor</t>
        </is>
      </c>
      <c r="G25" s="4" t="inlineStr">
        <is>
          <t>Carrusel: cómo leer un texto de comprensión lectora en 3 pasos (con una pregunta del banco).</t>
        </is>
      </c>
      <c r="H25" s="4" t="inlineStr">
        <is>
          <t>Escribe 'DIAGNÓSTICO' al 902 155 458</t>
        </is>
      </c>
      <c r="I25" s="4" t="inlineStr">
        <is>
          <t>Pendiente</t>
        </is>
      </c>
      <c r="J25" s="4" t="inlineStr"/>
    </row>
    <row r="26">
      <c r="A26" s="6" t="n">
        <v>46342</v>
      </c>
      <c r="B26" s="4" t="inlineStr">
        <is>
          <t>vie</t>
        </is>
      </c>
      <c r="C26" s="6" t="n">
        <v>46346</v>
      </c>
      <c r="D26" s="4" t="inlineStr">
        <is>
          <t>SPRINT-PUCP</t>
        </is>
      </c>
      <c r="E26" s="4" t="inlineStr">
        <is>
          <t>Historia</t>
        </is>
      </c>
      <c r="F26" s="4" t="inlineStr">
        <is>
          <t>Valor</t>
        </is>
      </c>
      <c r="G26" s="4" t="inlineStr">
        <is>
          <t>Historia: resultado del mini simulacro de la semana (promedio del grupo, sin nombres).</t>
        </is>
      </c>
      <c r="H26" s="4" t="inlineStr">
        <is>
          <t>Escribe 'DIAGNÓSTICO' al 902 155 458</t>
        </is>
      </c>
      <c r="I26" s="4" t="inlineStr">
        <is>
          <t>Pendiente</t>
        </is>
      </c>
      <c r="J26" s="4" t="inlineStr"/>
    </row>
    <row r="27">
      <c r="A27" s="6" t="n">
        <v>46342</v>
      </c>
      <c r="B27" s="4" t="inlineStr">
        <is>
          <t>sáb</t>
        </is>
      </c>
      <c r="C27" s="6" t="n">
        <v>46347</v>
      </c>
      <c r="D27" s="4" t="inlineStr">
        <is>
          <t>SPRINT-PUCP</t>
        </is>
      </c>
      <c r="E27" s="4" t="inlineStr">
        <is>
          <t>WhatsApp</t>
        </is>
      </c>
      <c r="F27" s="4" t="inlineStr">
        <is>
          <t>Valor</t>
        </is>
      </c>
      <c r="G27" s="4" t="inlineStr">
        <is>
          <t>Difusión: invitación al simulacro gratuito del sábado (cupos limitados).</t>
        </is>
      </c>
      <c r="H27" s="4" t="inlineStr">
        <is>
          <t>Escribe 'DIAGNÓSTICO' al 902 155 458</t>
        </is>
      </c>
      <c r="I27" s="4" t="inlineStr">
        <is>
          <t>Pendiente</t>
        </is>
      </c>
      <c r="J27" s="4" t="inlineStr"/>
    </row>
    <row r="28">
      <c r="A28" s="6" t="n">
        <v>46349</v>
      </c>
      <c r="B28" s="4" t="inlineStr">
        <is>
          <t>lun</t>
        </is>
      </c>
      <c r="C28" s="6" t="n">
        <v>46349</v>
      </c>
      <c r="D28" s="4" t="inlineStr">
        <is>
          <t>SPRINT-PUCP</t>
        </is>
      </c>
      <c r="E28" s="4" t="inlineStr">
        <is>
          <t>Reel</t>
        </is>
      </c>
      <c r="F28" s="4" t="inlineStr">
        <is>
          <t>Urgencia</t>
        </is>
      </c>
      <c r="G28" s="4" t="inlineStr">
        <is>
          <t>Reel: 'Faltan 6 días para La Primera Opción PUCP: esto es lo que haría yo esta semana.'</t>
        </is>
      </c>
      <c r="H28" s="4" t="inlineStr">
        <is>
          <t>Escribe 'DIAGNÓSTICO' al 902 155 458</t>
        </is>
      </c>
      <c r="I28" s="4" t="inlineStr">
        <is>
          <t>Pendiente</t>
        </is>
      </c>
      <c r="J28" s="4" t="inlineStr"/>
    </row>
    <row r="29">
      <c r="A29" s="6" t="n">
        <v>46349</v>
      </c>
      <c r="B29" s="4" t="inlineStr">
        <is>
          <t>mié</t>
        </is>
      </c>
      <c r="C29" s="6" t="n">
        <v>46351</v>
      </c>
      <c r="D29" s="4" t="inlineStr">
        <is>
          <t>REFUERZO-CEPU</t>
        </is>
      </c>
      <c r="E29" s="4" t="inlineStr">
        <is>
          <t>Carrusel</t>
        </is>
      </c>
      <c r="F29" s="4" t="inlineStr">
        <is>
          <t>Urgencia</t>
        </is>
      </c>
      <c r="G29" s="4" t="inlineStr">
        <is>
          <t>Carrusel: checklist del día del examen (DNI, hora, descanso, estrategia de tiempo).</t>
        </is>
      </c>
      <c r="H29" s="4" t="inlineStr">
        <is>
          <t>Escribe 'DIAGNÓSTICO' al 902 155 458</t>
        </is>
      </c>
      <c r="I29" s="4" t="inlineStr">
        <is>
          <t>Pendiente</t>
        </is>
      </c>
      <c r="J29" s="4" t="inlineStr"/>
    </row>
    <row r="30">
      <c r="A30" s="6" t="n">
        <v>46349</v>
      </c>
      <c r="B30" s="4" t="inlineStr">
        <is>
          <t>vie</t>
        </is>
      </c>
      <c r="C30" s="6" t="n">
        <v>46353</v>
      </c>
      <c r="D30" s="4" t="inlineStr">
        <is>
          <t>SPRINT-PUCP</t>
        </is>
      </c>
      <c r="E30" s="4" t="inlineStr">
        <is>
          <t>Historia</t>
        </is>
      </c>
      <c r="F30" s="4" t="inlineStr">
        <is>
          <t>Urgencia</t>
        </is>
      </c>
      <c r="G30" s="4" t="inlineStr">
        <is>
          <t>Historia: cuenta regresiva a La Primera Opción PUCP + 'últimos cupos para el simulacro final'.</t>
        </is>
      </c>
      <c r="H30" s="4" t="inlineStr">
        <is>
          <t>Escribe 'DIAGNÓSTICO' al 902 155 458</t>
        </is>
      </c>
      <c r="I30" s="4" t="inlineStr">
        <is>
          <t>Pendiente</t>
        </is>
      </c>
      <c r="J30" s="4" t="inlineStr"/>
    </row>
    <row r="31">
      <c r="A31" s="6" t="n">
        <v>46349</v>
      </c>
      <c r="B31" s="4" t="inlineStr">
        <is>
          <t>sáb</t>
        </is>
      </c>
      <c r="C31" s="6" t="n">
        <v>46354</v>
      </c>
      <c r="D31" s="4" t="inlineStr">
        <is>
          <t>SPRINT-PUCP</t>
        </is>
      </c>
      <c r="E31" s="4" t="inlineStr">
        <is>
          <t>WhatsApp</t>
        </is>
      </c>
      <c r="F31" s="4" t="inlineStr">
        <is>
          <t>Urgencia</t>
        </is>
      </c>
      <c r="G31" s="4" t="inlineStr">
        <is>
          <t>Difusión: guion 'Simulacro final' + recordatorio de inscripción.</t>
        </is>
      </c>
      <c r="H31" s="4" t="inlineStr">
        <is>
          <t>Escribe 'DIAGNÓSTICO' al 902 155 458</t>
        </is>
      </c>
      <c r="I31" s="4" t="inlineStr">
        <is>
          <t>Pendiente</t>
        </is>
      </c>
      <c r="J31" s="4" t="inlineStr"/>
    </row>
    <row r="32">
      <c r="A32" s="6" t="n">
        <v>46356</v>
      </c>
      <c r="B32" s="4" t="inlineStr">
        <is>
          <t>lun</t>
        </is>
      </c>
      <c r="C32" s="6" t="n">
        <v>46356</v>
      </c>
      <c r="D32" s="4" t="inlineStr">
        <is>
          <t>MEDICINA-UPCH</t>
        </is>
      </c>
      <c r="E32" s="4" t="inlineStr">
        <is>
          <t>Reel</t>
        </is>
      </c>
      <c r="F32" s="4" t="inlineStr">
        <is>
          <t>Lanzamiento</t>
        </is>
      </c>
      <c r="G32" s="4" t="inlineStr">
        <is>
          <t>Reel: 'Un día de estudio con ASTROS': clase virtual, pizarra digital y grabación en Drive, rumbo a Medicina en Cayetano.</t>
        </is>
      </c>
      <c r="H32" s="4" t="inlineStr">
        <is>
          <t>Escribe 'DIAGNÓSTICO' al 902 155 458</t>
        </is>
      </c>
      <c r="I32" s="4" t="inlineStr">
        <is>
          <t>Pendiente</t>
        </is>
      </c>
      <c r="J32" s="4" t="inlineStr"/>
    </row>
    <row r="33">
      <c r="A33" s="6" t="n">
        <v>46356</v>
      </c>
      <c r="B33" s="4" t="inlineStr">
        <is>
          <t>lun</t>
        </is>
      </c>
      <c r="C33" s="6" t="n">
        <v>46356</v>
      </c>
      <c r="D33" s="4" t="inlineStr">
        <is>
          <t>REFERIDOS</t>
        </is>
      </c>
      <c r="E33" s="4" t="inlineStr">
        <is>
          <t>Carrusel</t>
        </is>
      </c>
      <c r="F33" s="4" t="inlineStr">
        <is>
          <t>Siempre</t>
        </is>
      </c>
      <c r="G33" s="4" t="inlineStr">
        <is>
          <t>HITO: Publicar ingresantes ULIMA/PUCP (con permiso) + '1 hora gratis por cada amigo que traigas'.</t>
        </is>
      </c>
      <c r="H33" s="4" t="inlineStr">
        <is>
          <t>Escribe 'TRIPULACIÓN'</t>
        </is>
      </c>
      <c r="I33" s="4" t="inlineStr">
        <is>
          <t>Pendiente</t>
        </is>
      </c>
      <c r="J33" s="4" t="inlineStr"/>
    </row>
    <row r="34">
      <c r="A34" s="6" t="n">
        <v>46356</v>
      </c>
      <c r="B34" s="4" t="inlineStr">
        <is>
          <t>mié</t>
        </is>
      </c>
      <c r="C34" s="6" t="n">
        <v>46358</v>
      </c>
      <c r="D34" s="4" t="inlineStr">
        <is>
          <t>VERANO-PUCP</t>
        </is>
      </c>
      <c r="E34" s="4" t="inlineStr">
        <is>
          <t>Carrusel</t>
        </is>
      </c>
      <c r="F34" s="4" t="inlineStr">
        <is>
          <t>Lanzamiento</t>
        </is>
      </c>
      <c r="G34" s="4" t="inlineStr">
        <is>
          <t>Carrusel: plan semana a semana para la Evaluación del Talento PUCP (qué estudiar cada semana).</t>
        </is>
      </c>
      <c r="H34" s="4" t="inlineStr">
        <is>
          <t>Escribe 'DIAGNÓSTICO' al 902 155 458</t>
        </is>
      </c>
      <c r="I34" s="4" t="inlineStr">
        <is>
          <t>Pendiente</t>
        </is>
      </c>
      <c r="J34" s="4" t="inlineStr"/>
    </row>
    <row r="35">
      <c r="A35" s="6" t="n">
        <v>46356</v>
      </c>
      <c r="B35" s="4" t="inlineStr">
        <is>
          <t>vie</t>
        </is>
      </c>
      <c r="C35" s="6" t="n">
        <v>46360</v>
      </c>
      <c r="D35" s="4" t="inlineStr">
        <is>
          <t>MEDICINA-UPCH</t>
        </is>
      </c>
      <c r="E35" s="4" t="inlineStr">
        <is>
          <t>Historia</t>
        </is>
      </c>
      <c r="F35" s="4" t="inlineStr">
        <is>
          <t>Lanzamiento</t>
        </is>
      </c>
      <c r="G35" s="4" t="inlineStr">
        <is>
          <t>Historia: caja de preguntas '¿Qué tema te da más miedo?' y responder con mini videos.</t>
        </is>
      </c>
      <c r="H35" s="4" t="inlineStr">
        <is>
          <t>Escribe 'DIAGNÓSTICO' al 902 155 458</t>
        </is>
      </c>
      <c r="I35" s="4" t="inlineStr">
        <is>
          <t>Pendiente</t>
        </is>
      </c>
      <c r="J35" s="4" t="inlineStr"/>
    </row>
    <row r="36">
      <c r="A36" s="6" t="n">
        <v>46356</v>
      </c>
      <c r="B36" s="4" t="inlineStr">
        <is>
          <t>sáb</t>
        </is>
      </c>
      <c r="C36" s="6" t="n">
        <v>46361</v>
      </c>
      <c r="D36" s="4" t="inlineStr">
        <is>
          <t>MEDICINA-UPCH</t>
        </is>
      </c>
      <c r="E36" s="4" t="inlineStr">
        <is>
          <t>WhatsApp</t>
        </is>
      </c>
      <c r="F36" s="4" t="inlineStr">
        <is>
          <t>Lanzamiento</t>
        </is>
      </c>
      <c r="G36" s="4" t="inlineStr">
        <is>
          <t>Difusión: guion 'Seguimiento' a quienes preguntaron y no agendaron diagnóstico.</t>
        </is>
      </c>
      <c r="H36" s="4" t="inlineStr">
        <is>
          <t>Escribe 'DIAGNÓSTICO' al 902 155 458</t>
        </is>
      </c>
      <c r="I36" s="4" t="inlineStr">
        <is>
          <t>Pendiente</t>
        </is>
      </c>
      <c r="J36" s="4" t="inlineStr"/>
    </row>
    <row r="37">
      <c r="A37" s="6" t="n">
        <v>46363</v>
      </c>
      <c r="B37" s="4" t="inlineStr">
        <is>
          <t>lun</t>
        </is>
      </c>
      <c r="C37" s="6" t="n">
        <v>46363</v>
      </c>
      <c r="D37" s="4" t="inlineStr">
        <is>
          <t>MEDICINA-UPCH</t>
        </is>
      </c>
      <c r="E37" s="4" t="inlineStr">
        <is>
          <t>Reel</t>
        </is>
      </c>
      <c r="F37" s="4" t="inlineStr">
        <is>
          <t>Lanzamiento</t>
        </is>
      </c>
      <c r="G37" s="4" t="inlineStr">
        <is>
          <t>Reel: 'Personalizado de verdad': tú eliges el temario y el horario para Medicina en Cayetano.</t>
        </is>
      </c>
      <c r="H37" s="4" t="inlineStr">
        <is>
          <t>Escribe 'DIAGNÓSTICO' al 902 155 458</t>
        </is>
      </c>
      <c r="I37" s="4" t="inlineStr">
        <is>
          <t>Pendiente</t>
        </is>
      </c>
      <c r="J37" s="4" t="inlineStr"/>
    </row>
    <row r="38">
      <c r="A38" s="6" t="n">
        <v>46363</v>
      </c>
      <c r="B38" s="4" t="inlineStr">
        <is>
          <t>mié</t>
        </is>
      </c>
      <c r="C38" s="6" t="n">
        <v>46365</v>
      </c>
      <c r="D38" s="4" t="inlineStr">
        <is>
          <t>VERANO-PUCP</t>
        </is>
      </c>
      <c r="E38" s="4" t="inlineStr">
        <is>
          <t>Carrusel</t>
        </is>
      </c>
      <c r="F38" s="4" t="inlineStr">
        <is>
          <t>Lanzamiento</t>
        </is>
      </c>
      <c r="G38" s="4" t="inlineStr">
        <is>
          <t>Carrusel: 'Academia grande vs. tutoría personalizada' para la Evaluación del Talento PUCP: horarios, atención y avance medible.</t>
        </is>
      </c>
      <c r="H38" s="4" t="inlineStr">
        <is>
          <t>Escribe 'DIAGNÓSTICO' al 902 155 458</t>
        </is>
      </c>
      <c r="I38" s="4" t="inlineStr">
        <is>
          <t>Pendiente</t>
        </is>
      </c>
      <c r="J38" s="4" t="inlineStr"/>
    </row>
    <row r="39">
      <c r="A39" s="6" t="n">
        <v>46363</v>
      </c>
      <c r="B39" s="4" t="inlineStr">
        <is>
          <t>vie</t>
        </is>
      </c>
      <c r="C39" s="6" t="n">
        <v>46367</v>
      </c>
      <c r="D39" s="4" t="inlineStr">
        <is>
          <t>MEDICINA-UPCH</t>
        </is>
      </c>
      <c r="E39" s="4" t="inlineStr">
        <is>
          <t>Historia</t>
        </is>
      </c>
      <c r="F39" s="4" t="inlineStr">
        <is>
          <t>Lanzamiento</t>
        </is>
      </c>
      <c r="G39" s="4" t="inlineStr">
        <is>
          <t>Historia con encuesta: '¿Ya sabes en qué área estás más débil para Medicina en Cayetano?' Sí / No → link a WhatsApp.</t>
        </is>
      </c>
      <c r="H39" s="4" t="inlineStr">
        <is>
          <t>Escribe 'DIAGNÓSTICO' al 902 155 458</t>
        </is>
      </c>
      <c r="I39" s="4" t="inlineStr">
        <is>
          <t>Pendiente</t>
        </is>
      </c>
      <c r="J39" s="4" t="inlineStr"/>
    </row>
    <row r="40">
      <c r="A40" s="6" t="n">
        <v>46363</v>
      </c>
      <c r="B40" s="4" t="inlineStr">
        <is>
          <t>sáb</t>
        </is>
      </c>
      <c r="C40" s="6" t="n">
        <v>46368</v>
      </c>
      <c r="D40" s="4" t="inlineStr">
        <is>
          <t>MEDICINA-UPCH</t>
        </is>
      </c>
      <c r="E40" s="4" t="inlineStr">
        <is>
          <t>WhatsApp</t>
        </is>
      </c>
      <c r="F40" s="4" t="inlineStr">
        <is>
          <t>Lanzamiento</t>
        </is>
      </c>
      <c r="G40" s="4" t="inlineStr">
        <is>
          <t>Difusión: guion 'Primer contacto' adaptado a Medicina en Cayetano. Ofrece el diagnóstico gratis.</t>
        </is>
      </c>
      <c r="H40" s="4" t="inlineStr">
        <is>
          <t>Escribe 'DIAGNÓSTICO' al 902 155 458</t>
        </is>
      </c>
      <c r="I40" s="4" t="inlineStr">
        <is>
          <t>Pendiente</t>
        </is>
      </c>
      <c r="J40" s="4" t="inlineStr"/>
    </row>
    <row r="41">
      <c r="A41" s="6" t="n">
        <v>46370</v>
      </c>
      <c r="B41" s="4" t="inlineStr">
        <is>
          <t>lun</t>
        </is>
      </c>
      <c r="C41" s="6" t="n">
        <v>46370</v>
      </c>
      <c r="D41" s="4" t="inlineStr">
        <is>
          <t>MEDICINA-UPCH</t>
        </is>
      </c>
      <c r="E41" s="4" t="inlineStr">
        <is>
          <t>Reel</t>
        </is>
      </c>
      <c r="F41" s="4" t="inlineStr">
        <is>
          <t>Lanzamiento</t>
        </is>
      </c>
      <c r="G41" s="4" t="inlineStr">
        <is>
          <t>Reel: '¿Postulas a Medicina en Cayetano? En 45 minutos te digo qué temas te faltan.' Mostrar cómo es la clase diagnóstica y el plan por semanas.</t>
        </is>
      </c>
      <c r="H41" s="4" t="inlineStr">
        <is>
          <t>Escribe 'DIAGNÓSTICO' al 902 155 458</t>
        </is>
      </c>
      <c r="I41" s="4" t="inlineStr">
        <is>
          <t>Pendiente</t>
        </is>
      </c>
      <c r="J41" s="4" t="inlineStr"/>
    </row>
    <row r="42">
      <c r="A42" s="6" t="n">
        <v>46370</v>
      </c>
      <c r="B42" s="4" t="inlineStr">
        <is>
          <t>mié</t>
        </is>
      </c>
      <c r="C42" s="6" t="n">
        <v>46372</v>
      </c>
      <c r="D42" s="4" t="inlineStr">
        <is>
          <t>VERANO-PUCP</t>
        </is>
      </c>
      <c r="E42" s="4" t="inlineStr">
        <is>
          <t>Carrusel</t>
        </is>
      </c>
      <c r="F42" s="4" t="inlineStr">
        <is>
          <t>Lanzamiento</t>
        </is>
      </c>
      <c r="G42" s="4" t="inlineStr">
        <is>
          <t>Carrusel: 'Cómo es la Evaluación del Talento PUCP': áreas que evalúa y cómo prepararte en 8 semanas.</t>
        </is>
      </c>
      <c r="H42" s="4" t="inlineStr">
        <is>
          <t>Escribe 'DIAGNÓSTICO' al 902 155 458</t>
        </is>
      </c>
      <c r="I42" s="4" t="inlineStr">
        <is>
          <t>Pendiente</t>
        </is>
      </c>
      <c r="J42" s="4" t="inlineStr"/>
    </row>
    <row r="43">
      <c r="A43" s="6" t="n">
        <v>46370</v>
      </c>
      <c r="B43" s="4" t="inlineStr">
        <is>
          <t>vie</t>
        </is>
      </c>
      <c r="C43" s="6" t="n">
        <v>46374</v>
      </c>
      <c r="D43" s="4" t="inlineStr">
        <is>
          <t>MEDICINA-UPCH</t>
        </is>
      </c>
      <c r="E43" s="4" t="inlineStr">
        <is>
          <t>Historia</t>
        </is>
      </c>
      <c r="F43" s="4" t="inlineStr">
        <is>
          <t>Lanzamiento</t>
        </is>
      </c>
      <c r="G43" s="4" t="inlineStr">
        <is>
          <t>Historia: caja de preguntas '¿Qué tema te da más miedo?' y responder con mini videos.</t>
        </is>
      </c>
      <c r="H43" s="4" t="inlineStr">
        <is>
          <t>Escribe 'DIAGNÓSTICO' al 902 155 458</t>
        </is>
      </c>
      <c r="I43" s="4" t="inlineStr">
        <is>
          <t>Pendiente</t>
        </is>
      </c>
      <c r="J43" s="4" t="inlineStr"/>
    </row>
    <row r="44">
      <c r="A44" s="6" t="n">
        <v>46370</v>
      </c>
      <c r="B44" s="4" t="inlineStr">
        <is>
          <t>sáb</t>
        </is>
      </c>
      <c r="C44" s="6" t="n">
        <v>46375</v>
      </c>
      <c r="D44" s="4" t="inlineStr">
        <is>
          <t>MEDICINA-UPCH</t>
        </is>
      </c>
      <c r="E44" s="4" t="inlineStr">
        <is>
          <t>WhatsApp</t>
        </is>
      </c>
      <c r="F44" s="4" t="inlineStr">
        <is>
          <t>Lanzamiento</t>
        </is>
      </c>
      <c r="G44" s="4" t="inlineStr">
        <is>
          <t>Difusión: guion 'Seguimiento' a quienes preguntaron y no agendaron diagnóstico.</t>
        </is>
      </c>
      <c r="H44" s="4" t="inlineStr">
        <is>
          <t>Escribe 'DIAGNÓSTICO' al 902 155 458</t>
        </is>
      </c>
      <c r="I44" s="4" t="inlineStr">
        <is>
          <t>Pendiente</t>
        </is>
      </c>
      <c r="J44" s="4" t="inlineStr"/>
    </row>
    <row r="45">
      <c r="A45" s="6" t="n">
        <v>46377</v>
      </c>
      <c r="B45" s="4" t="inlineStr">
        <is>
          <t>lun</t>
        </is>
      </c>
      <c r="C45" s="6" t="n">
        <v>46377</v>
      </c>
      <c r="D45" s="4" t="inlineStr">
        <is>
          <t>MEDICINA-UPCH</t>
        </is>
      </c>
      <c r="E45" s="4" t="inlineStr">
        <is>
          <t>Reel</t>
        </is>
      </c>
      <c r="F45" s="4" t="inlineStr">
        <is>
          <t>Lanzamiento</t>
        </is>
      </c>
      <c r="G45" s="4" t="inlineStr">
        <is>
          <t>Reel: 'Un día de estudio con ASTROS': clase virtual, pizarra digital y grabación en Drive, rumbo a Medicina en Cayetano.</t>
        </is>
      </c>
      <c r="H45" s="4" t="inlineStr">
        <is>
          <t>Escribe 'DIAGNÓSTICO' al 902 155 458</t>
        </is>
      </c>
      <c r="I45" s="4" t="inlineStr">
        <is>
          <t>Pendiente</t>
        </is>
      </c>
      <c r="J45" s="4" t="inlineStr"/>
    </row>
    <row r="46">
      <c r="A46" s="6" t="n">
        <v>46377</v>
      </c>
      <c r="B46" s="4" t="inlineStr">
        <is>
          <t>mié</t>
        </is>
      </c>
      <c r="C46" s="6" t="n">
        <v>46379</v>
      </c>
      <c r="D46" s="4" t="inlineStr">
        <is>
          <t>VERANO-PUCP</t>
        </is>
      </c>
      <c r="E46" s="4" t="inlineStr">
        <is>
          <t>Carrusel</t>
        </is>
      </c>
      <c r="F46" s="4" t="inlineStr">
        <is>
          <t>Lanzamiento</t>
        </is>
      </c>
      <c r="G46" s="4" t="inlineStr">
        <is>
          <t>Carrusel: plan semana a semana para la Evaluación del Talento PUCP (qué estudiar cada semana).</t>
        </is>
      </c>
      <c r="H46" s="4" t="inlineStr">
        <is>
          <t>Escribe 'DIAGNÓSTICO' al 902 155 458</t>
        </is>
      </c>
      <c r="I46" s="4" t="inlineStr">
        <is>
          <t>Pendiente</t>
        </is>
      </c>
      <c r="J46" s="4" t="inlineStr"/>
    </row>
    <row r="47">
      <c r="A47" s="6" t="n">
        <v>46377</v>
      </c>
      <c r="B47" s="4" t="inlineStr">
        <is>
          <t>vie</t>
        </is>
      </c>
      <c r="C47" s="6" t="n">
        <v>46381</v>
      </c>
      <c r="D47" s="4" t="inlineStr">
        <is>
          <t>MEDICINA-UPCH</t>
        </is>
      </c>
      <c r="E47" s="4" t="inlineStr">
        <is>
          <t>Historia</t>
        </is>
      </c>
      <c r="F47" s="4" t="inlineStr">
        <is>
          <t>Lanzamiento</t>
        </is>
      </c>
      <c r="G47" s="4" t="inlineStr">
        <is>
          <t>Historia con encuesta: '¿Ya sabes en qué área estás más débil para Medicina en Cayetano?' Sí / No → link a WhatsApp.</t>
        </is>
      </c>
      <c r="H47" s="4" t="inlineStr">
        <is>
          <t>Escribe 'DIAGNÓSTICO' al 902 155 458</t>
        </is>
      </c>
      <c r="I47" s="4" t="inlineStr">
        <is>
          <t>Pendiente</t>
        </is>
      </c>
      <c r="J47" s="4" t="inlineStr"/>
    </row>
    <row r="48">
      <c r="A48" s="6" t="n">
        <v>46377</v>
      </c>
      <c r="B48" s="4" t="inlineStr">
        <is>
          <t>sáb</t>
        </is>
      </c>
      <c r="C48" s="6" t="n">
        <v>46382</v>
      </c>
      <c r="D48" s="4" t="inlineStr">
        <is>
          <t>MEDICINA-UPCH</t>
        </is>
      </c>
      <c r="E48" s="4" t="inlineStr">
        <is>
          <t>WhatsApp</t>
        </is>
      </c>
      <c r="F48" s="4" t="inlineStr">
        <is>
          <t>Lanzamiento</t>
        </is>
      </c>
      <c r="G48" s="4" t="inlineStr">
        <is>
          <t>Difusión: guion 'Primer contacto' adaptado a Medicina en Cayetano. Ofrece el diagnóstico gratis.</t>
        </is>
      </c>
      <c r="H48" s="4" t="inlineStr">
        <is>
          <t>Escribe 'DIAGNÓSTICO' al 902 155 458</t>
        </is>
      </c>
      <c r="I48" s="4" t="inlineStr">
        <is>
          <t>Pendiente</t>
        </is>
      </c>
      <c r="J48" s="4" t="inlineStr"/>
    </row>
    <row r="49">
      <c r="A49" s="6" t="n">
        <v>46384</v>
      </c>
      <c r="B49" s="4" t="inlineStr">
        <is>
          <t>lun</t>
        </is>
      </c>
      <c r="C49" s="6" t="n">
        <v>46384</v>
      </c>
      <c r="D49" s="4" t="inlineStr">
        <is>
          <t>MEDICINA-UPCH</t>
        </is>
      </c>
      <c r="E49" s="4" t="inlineStr">
        <is>
          <t>Reel</t>
        </is>
      </c>
      <c r="F49" s="4" t="inlineStr">
        <is>
          <t>Valor</t>
        </is>
      </c>
      <c r="G49" s="4" t="inlineStr">
        <is>
          <t>Reel: 'El truco para no perder tiempo en Razonamiento Matemático' (pregunta del banco tipo UPCH).</t>
        </is>
      </c>
      <c r="H49" s="4" t="inlineStr">
        <is>
          <t>Escribe 'DIAGNÓSTICO' al 902 155 458</t>
        </is>
      </c>
      <c r="I49" s="4" t="inlineStr">
        <is>
          <t>Pendiente</t>
        </is>
      </c>
      <c r="J49" s="4" t="inlineStr"/>
    </row>
    <row r="50">
      <c r="A50" s="6" t="n">
        <v>46384</v>
      </c>
      <c r="B50" s="4" t="inlineStr">
        <is>
          <t>mié</t>
        </is>
      </c>
      <c r="C50" s="6" t="n">
        <v>46386</v>
      </c>
      <c r="D50" s="4" t="inlineStr">
        <is>
          <t>VERANO-PUCP</t>
        </is>
      </c>
      <c r="E50" s="4" t="inlineStr">
        <is>
          <t>Carrusel</t>
        </is>
      </c>
      <c r="F50" s="4" t="inlineStr">
        <is>
          <t>Lanzamiento</t>
        </is>
      </c>
      <c r="G50" s="4" t="inlineStr">
        <is>
          <t>Carrusel: 'Academia grande vs. tutoría personalizada' para la Evaluación del Talento PUCP: horarios, atención y avance medible.</t>
        </is>
      </c>
      <c r="H50" s="4" t="inlineStr">
        <is>
          <t>Escribe 'DIAGNÓSTICO' al 902 155 458</t>
        </is>
      </c>
      <c r="I50" s="4" t="inlineStr">
        <is>
          <t>Pendiente</t>
        </is>
      </c>
      <c r="J50" s="4" t="inlineStr"/>
    </row>
    <row r="51">
      <c r="A51" s="6" t="n">
        <v>46384</v>
      </c>
      <c r="B51" s="4" t="inlineStr">
        <is>
          <t>vie</t>
        </is>
      </c>
      <c r="C51" s="6" t="n">
        <v>46388</v>
      </c>
      <c r="D51" s="4" t="inlineStr">
        <is>
          <t>MEDICINA-UPCH</t>
        </is>
      </c>
      <c r="E51" s="4" t="inlineStr">
        <is>
          <t>Historia</t>
        </is>
      </c>
      <c r="F51" s="4" t="inlineStr">
        <is>
          <t>Valor</t>
        </is>
      </c>
      <c r="G51" s="4" t="inlineStr">
        <is>
          <t>Historia: resultado del mini simulacro de la semana (promedio del grupo, sin nombres).</t>
        </is>
      </c>
      <c r="H51" s="4" t="inlineStr">
        <is>
          <t>Escribe 'DIAGNÓSTICO' al 902 155 458</t>
        </is>
      </c>
      <c r="I51" s="4" t="inlineStr">
        <is>
          <t>Pendiente</t>
        </is>
      </c>
      <c r="J51" s="4" t="inlineStr"/>
    </row>
    <row r="52">
      <c r="A52" s="6" t="n">
        <v>46384</v>
      </c>
      <c r="B52" s="4" t="inlineStr">
        <is>
          <t>sáb</t>
        </is>
      </c>
      <c r="C52" s="6" t="n">
        <v>46389</v>
      </c>
      <c r="D52" s="4" t="inlineStr">
        <is>
          <t>MEDICINA-UPCH</t>
        </is>
      </c>
      <c r="E52" s="4" t="inlineStr">
        <is>
          <t>WhatsApp</t>
        </is>
      </c>
      <c r="F52" s="4" t="inlineStr">
        <is>
          <t>Valor</t>
        </is>
      </c>
      <c r="G52" s="4" t="inlineStr">
        <is>
          <t>Difusión: invitación al simulacro gratuito del sábado (cupos limitados).</t>
        </is>
      </c>
      <c r="H52" s="4" t="inlineStr">
        <is>
          <t>Escribe 'DIAGNÓSTICO' al 902 155 458</t>
        </is>
      </c>
      <c r="I52" s="4" t="inlineStr">
        <is>
          <t>Pendiente</t>
        </is>
      </c>
      <c r="J52" s="4" t="inlineStr"/>
    </row>
    <row r="53">
      <c r="A53" s="6" t="n">
        <v>46391</v>
      </c>
      <c r="B53" s="4" t="inlineStr">
        <is>
          <t>lun</t>
        </is>
      </c>
      <c r="C53" s="6" t="n">
        <v>46391</v>
      </c>
      <c r="D53" s="4" t="inlineStr">
        <is>
          <t>MEDICINA-UPCH</t>
        </is>
      </c>
      <c r="E53" s="4" t="inlineStr">
        <is>
          <t>Reel</t>
        </is>
      </c>
      <c r="F53" s="4" t="inlineStr">
        <is>
          <t>Valor</t>
        </is>
      </c>
      <c r="G53" s="4" t="inlineStr">
        <is>
          <t>Reel: 'El truco para no perder tiempo en Razonamiento Matemático' (pregunta del banco tipo UPCH).</t>
        </is>
      </c>
      <c r="H53" s="4" t="inlineStr">
        <is>
          <t>Escribe 'DIAGNÓSTICO' al 902 155 458</t>
        </is>
      </c>
      <c r="I53" s="4" t="inlineStr">
        <is>
          <t>Pendiente</t>
        </is>
      </c>
      <c r="J53" s="4" t="inlineStr"/>
    </row>
    <row r="54">
      <c r="A54" s="6" t="n">
        <v>46391</v>
      </c>
      <c r="B54" s="4" t="inlineStr">
        <is>
          <t>mar</t>
        </is>
      </c>
      <c r="C54" s="6" t="n">
        <v>46392</v>
      </c>
      <c r="D54" s="4" t="inlineStr">
        <is>
          <t>ORGANICO</t>
        </is>
      </c>
      <c r="E54" s="4" t="inlineStr">
        <is>
          <t>Tarea</t>
        </is>
      </c>
      <c r="F54" s="4" t="inlineStr">
        <is>
          <t>Siempre</t>
        </is>
      </c>
      <c r="G54" s="4" t="inlineStr">
        <is>
          <t>HITO: Verificar de nuevo fechas de PUCP Talento y ULIMA egresados.</t>
        </is>
      </c>
      <c r="H54" s="4" t="inlineStr">
        <is>
          <t>—</t>
        </is>
      </c>
      <c r="I54" s="4" t="inlineStr">
        <is>
          <t>Pendiente</t>
        </is>
      </c>
      <c r="J54" s="4" t="inlineStr"/>
    </row>
    <row r="55">
      <c r="A55" s="6" t="n">
        <v>46391</v>
      </c>
      <c r="B55" s="4" t="inlineStr">
        <is>
          <t>mié</t>
        </is>
      </c>
      <c r="C55" s="6" t="n">
        <v>46393</v>
      </c>
      <c r="D55" s="4" t="inlineStr">
        <is>
          <t>VERANO-PUCP</t>
        </is>
      </c>
      <c r="E55" s="4" t="inlineStr">
        <is>
          <t>Carrusel</t>
        </is>
      </c>
      <c r="F55" s="4" t="inlineStr">
        <is>
          <t>Lanzamiento</t>
        </is>
      </c>
      <c r="G55" s="4" t="inlineStr">
        <is>
          <t>Carrusel: plan semana a semana para la Evaluación del Talento PUCP (qué estudiar cada semana).</t>
        </is>
      </c>
      <c r="H55" s="4" t="inlineStr">
        <is>
          <t>Escribe 'DIAGNÓSTICO' al 902 155 458</t>
        </is>
      </c>
      <c r="I55" s="4" t="inlineStr">
        <is>
          <t>Pendiente</t>
        </is>
      </c>
      <c r="J55" s="4" t="inlineStr"/>
    </row>
    <row r="56">
      <c r="A56" s="6" t="n">
        <v>46391</v>
      </c>
      <c r="B56" s="4" t="inlineStr">
        <is>
          <t>jue</t>
        </is>
      </c>
      <c r="C56" s="6" t="n">
        <v>46394</v>
      </c>
      <c r="D56" s="4" t="inlineStr">
        <is>
          <t>MEDICINA-UPCH</t>
        </is>
      </c>
      <c r="E56" s="4" t="inlineStr">
        <is>
          <t>WhatsApp</t>
        </is>
      </c>
      <c r="F56" s="4" t="inlineStr">
        <is>
          <t>Urgencia</t>
        </is>
      </c>
      <c r="G56" s="4" t="inlineStr">
        <is>
          <t>HITO: Recordatorio: inscripción a Medicina UPCH cierra el 11/01.</t>
        </is>
      </c>
      <c r="H56" s="4" t="inlineStr">
        <is>
          <t>Responder 'LISTO' si ya te inscribiste</t>
        </is>
      </c>
      <c r="I56" s="4" t="inlineStr">
        <is>
          <t>Pendiente</t>
        </is>
      </c>
      <c r="J56" s="4" t="inlineStr"/>
    </row>
    <row r="57">
      <c r="A57" s="6" t="n">
        <v>46391</v>
      </c>
      <c r="B57" s="4" t="inlineStr">
        <is>
          <t>vie</t>
        </is>
      </c>
      <c r="C57" s="6" t="n">
        <v>46395</v>
      </c>
      <c r="D57" s="4" t="inlineStr">
        <is>
          <t>MEDICINA-UPCH</t>
        </is>
      </c>
      <c r="E57" s="4" t="inlineStr">
        <is>
          <t>Historia</t>
        </is>
      </c>
      <c r="F57" s="4" t="inlineStr">
        <is>
          <t>Valor</t>
        </is>
      </c>
      <c r="G57" s="4" t="inlineStr">
        <is>
          <t>Historia: resultado del mini simulacro de la semana (promedio del grupo, sin nombres).</t>
        </is>
      </c>
      <c r="H57" s="4" t="inlineStr">
        <is>
          <t>Escribe 'DIAGNÓSTICO' al 902 155 458</t>
        </is>
      </c>
      <c r="I57" s="4" t="inlineStr">
        <is>
          <t>Pendiente</t>
        </is>
      </c>
      <c r="J57" s="4" t="inlineStr"/>
    </row>
    <row r="58">
      <c r="A58" s="6" t="n">
        <v>46391</v>
      </c>
      <c r="B58" s="4" t="inlineStr">
        <is>
          <t>sáb</t>
        </is>
      </c>
      <c r="C58" s="6" t="n">
        <v>46396</v>
      </c>
      <c r="D58" s="4" t="inlineStr">
        <is>
          <t>MEDICINA-UPCH</t>
        </is>
      </c>
      <c r="E58" s="4" t="inlineStr">
        <is>
          <t>WhatsApp</t>
        </is>
      </c>
      <c r="F58" s="4" t="inlineStr">
        <is>
          <t>Valor</t>
        </is>
      </c>
      <c r="G58" s="4" t="inlineStr">
        <is>
          <t>Difusión: invitación al simulacro gratuito del sábado (cupos limitados).</t>
        </is>
      </c>
      <c r="H58" s="4" t="inlineStr">
        <is>
          <t>Escribe 'DIAGNÓSTICO' al 902 155 458</t>
        </is>
      </c>
      <c r="I58" s="4" t="inlineStr">
        <is>
          <t>Pendiente</t>
        </is>
      </c>
      <c r="J58" s="4" t="inlineStr"/>
    </row>
    <row r="59">
      <c r="A59" s="6" t="n">
        <v>46398</v>
      </c>
      <c r="B59" s="4" t="inlineStr">
        <is>
          <t>lun</t>
        </is>
      </c>
      <c r="C59" s="6" t="n">
        <v>46398</v>
      </c>
      <c r="D59" s="4" t="inlineStr">
        <is>
          <t>MEDICINA-UPCH</t>
        </is>
      </c>
      <c r="E59" s="4" t="inlineStr">
        <is>
          <t>Reel</t>
        </is>
      </c>
      <c r="F59" s="4" t="inlineStr">
        <is>
          <t>Urgencia</t>
        </is>
      </c>
      <c r="G59" s="4" t="inlineStr">
        <is>
          <t>Reel: 'Faltan 6 días para Medicina en Cayetano: esto es lo que haría yo esta semana.'</t>
        </is>
      </c>
      <c r="H59" s="4" t="inlineStr">
        <is>
          <t>Escribe 'DIAGNÓSTICO' al 902 155 458</t>
        </is>
      </c>
      <c r="I59" s="4" t="inlineStr">
        <is>
          <t>Pendiente</t>
        </is>
      </c>
      <c r="J59" s="4" t="inlineStr"/>
    </row>
    <row r="60">
      <c r="A60" s="6" t="n">
        <v>46398</v>
      </c>
      <c r="B60" s="4" t="inlineStr">
        <is>
          <t>mié</t>
        </is>
      </c>
      <c r="C60" s="6" t="n">
        <v>46400</v>
      </c>
      <c r="D60" s="4" t="inlineStr">
        <is>
          <t>VERANO-PUCP</t>
        </is>
      </c>
      <c r="E60" s="4" t="inlineStr">
        <is>
          <t>Carrusel</t>
        </is>
      </c>
      <c r="F60" s="4" t="inlineStr">
        <is>
          <t>Lanzamiento</t>
        </is>
      </c>
      <c r="G60" s="4" t="inlineStr">
        <is>
          <t>Carrusel: 'Academia grande vs. tutoría personalizada' para la Evaluación del Talento PUCP: horarios, atención y avance medible.</t>
        </is>
      </c>
      <c r="H60" s="4" t="inlineStr">
        <is>
          <t>Escribe 'DIAGNÓSTICO' al 902 155 458</t>
        </is>
      </c>
      <c r="I60" s="4" t="inlineStr">
        <is>
          <t>Pendiente</t>
        </is>
      </c>
      <c r="J60" s="4" t="inlineStr"/>
    </row>
    <row r="61">
      <c r="A61" s="6" t="n">
        <v>46398</v>
      </c>
      <c r="B61" s="4" t="inlineStr">
        <is>
          <t>vie</t>
        </is>
      </c>
      <c r="C61" s="6" t="n">
        <v>46402</v>
      </c>
      <c r="D61" s="4" t="inlineStr">
        <is>
          <t>MEDICINA-UPCH</t>
        </is>
      </c>
      <c r="E61" s="4" t="inlineStr">
        <is>
          <t>Historia</t>
        </is>
      </c>
      <c r="F61" s="4" t="inlineStr">
        <is>
          <t>Urgencia</t>
        </is>
      </c>
      <c r="G61" s="4" t="inlineStr">
        <is>
          <t>Historia: cuenta regresiva a Medicina en Cayetano + 'últimos cupos para el simulacro final'.</t>
        </is>
      </c>
      <c r="H61" s="4" t="inlineStr">
        <is>
          <t>Escribe 'DIAGNÓSTICO' al 902 155 458</t>
        </is>
      </c>
      <c r="I61" s="4" t="inlineStr">
        <is>
          <t>Pendiente</t>
        </is>
      </c>
      <c r="J61" s="4" t="inlineStr"/>
    </row>
    <row r="62">
      <c r="A62" s="6" t="n">
        <v>46398</v>
      </c>
      <c r="B62" s="4" t="inlineStr">
        <is>
          <t>sáb</t>
        </is>
      </c>
      <c r="C62" s="6" t="n">
        <v>46403</v>
      </c>
      <c r="D62" s="4" t="inlineStr">
        <is>
          <t>MEDICINA-UPCH</t>
        </is>
      </c>
      <c r="E62" s="4" t="inlineStr">
        <is>
          <t>WhatsApp</t>
        </is>
      </c>
      <c r="F62" s="4" t="inlineStr">
        <is>
          <t>Urgencia</t>
        </is>
      </c>
      <c r="G62" s="4" t="inlineStr">
        <is>
          <t>Difusión: guion 'Simulacro final' + recordatorio de inscripción.</t>
        </is>
      </c>
      <c r="H62" s="4" t="inlineStr">
        <is>
          <t>Escribe 'DIAGNÓSTICO' al 902 155 458</t>
        </is>
      </c>
      <c r="I62" s="4" t="inlineStr">
        <is>
          <t>Pendiente</t>
        </is>
      </c>
      <c r="J62" s="4" t="inlineStr"/>
    </row>
    <row r="63">
      <c r="A63" s="6" t="n">
        <v>46405</v>
      </c>
      <c r="B63" s="4" t="inlineStr">
        <is>
          <t>lun</t>
        </is>
      </c>
      <c r="C63" s="6" t="n">
        <v>46405</v>
      </c>
      <c r="D63" s="4" t="inlineStr">
        <is>
          <t>VERANO-PUCP</t>
        </is>
      </c>
      <c r="E63" s="4" t="inlineStr">
        <is>
          <t>Reel</t>
        </is>
      </c>
      <c r="F63" s="4" t="inlineStr">
        <is>
          <t>Lanzamiento</t>
        </is>
      </c>
      <c r="G63" s="4" t="inlineStr">
        <is>
          <t>Reel: '¿Postulas a la Evaluación del Talento PUCP? En 45 minutos te digo qué temas te faltan.' Mostrar cómo es la clase diagnóstica y el plan por semanas.</t>
        </is>
      </c>
      <c r="H63" s="4" t="inlineStr">
        <is>
          <t>Escribe 'DIAGNÓSTICO' al 902 155 458</t>
        </is>
      </c>
      <c r="I63" s="4" t="inlineStr">
        <is>
          <t>Pendiente</t>
        </is>
      </c>
      <c r="J63" s="4" t="inlineStr"/>
    </row>
    <row r="64">
      <c r="A64" s="6" t="n">
        <v>46405</v>
      </c>
      <c r="B64" s="4" t="inlineStr">
        <is>
          <t>mié</t>
        </is>
      </c>
      <c r="C64" s="6" t="n">
        <v>46407</v>
      </c>
      <c r="D64" s="4" t="inlineStr">
        <is>
          <t>VERANO-ULIMA</t>
        </is>
      </c>
      <c r="E64" s="4" t="inlineStr">
        <is>
          <t>Carrusel</t>
        </is>
      </c>
      <c r="F64" s="4" t="inlineStr">
        <is>
          <t>Lanzamiento</t>
        </is>
      </c>
      <c r="G64" s="4" t="inlineStr">
        <is>
          <t>Carrusel: 'Cómo es el examen de egresados ULIMA': áreas que evalúa y cómo prepararte en 6 semanas.</t>
        </is>
      </c>
      <c r="H64" s="4" t="inlineStr">
        <is>
          <t>Escribe 'DIAGNÓSTICO' al 902 155 458</t>
        </is>
      </c>
      <c r="I64" s="4" t="inlineStr">
        <is>
          <t>Pendiente</t>
        </is>
      </c>
      <c r="J64" s="4" t="inlineStr"/>
    </row>
    <row r="65">
      <c r="A65" s="6" t="n">
        <v>46405</v>
      </c>
      <c r="B65" s="4" t="inlineStr">
        <is>
          <t>vie</t>
        </is>
      </c>
      <c r="C65" s="6" t="n">
        <v>46409</v>
      </c>
      <c r="D65" s="4" t="inlineStr">
        <is>
          <t>VERANO-PUCP</t>
        </is>
      </c>
      <c r="E65" s="4" t="inlineStr">
        <is>
          <t>Historia</t>
        </is>
      </c>
      <c r="F65" s="4" t="inlineStr">
        <is>
          <t>Lanzamiento</t>
        </is>
      </c>
      <c r="G65" s="4" t="inlineStr">
        <is>
          <t>Historia: caja de preguntas '¿Qué tema te da más miedo?' y responder con mini videos.</t>
        </is>
      </c>
      <c r="H65" s="4" t="inlineStr">
        <is>
          <t>Escribe 'DIAGNÓSTICO' al 902 155 458</t>
        </is>
      </c>
      <c r="I65" s="4" t="inlineStr">
        <is>
          <t>Pendiente</t>
        </is>
      </c>
      <c r="J65" s="4" t="inlineStr"/>
    </row>
    <row r="66">
      <c r="A66" s="6" t="n">
        <v>46405</v>
      </c>
      <c r="B66" s="4" t="inlineStr">
        <is>
          <t>sáb</t>
        </is>
      </c>
      <c r="C66" s="6" t="n">
        <v>46410</v>
      </c>
      <c r="D66" s="4" t="inlineStr">
        <is>
          <t>VERANO-PUCP</t>
        </is>
      </c>
      <c r="E66" s="4" t="inlineStr">
        <is>
          <t>WhatsApp</t>
        </is>
      </c>
      <c r="F66" s="4" t="inlineStr">
        <is>
          <t>Lanzamiento</t>
        </is>
      </c>
      <c r="G66" s="4" t="inlineStr">
        <is>
          <t>Difusión: guion 'Seguimiento' a quienes preguntaron y no agendaron diagnóstico.</t>
        </is>
      </c>
      <c r="H66" s="4" t="inlineStr">
        <is>
          <t>Escribe 'DIAGNÓSTICO' al 902 155 458</t>
        </is>
      </c>
      <c r="I66" s="4" t="inlineStr">
        <is>
          <t>Pendiente</t>
        </is>
      </c>
      <c r="J66" s="4" t="inlineStr"/>
    </row>
    <row r="67">
      <c r="A67" s="6" t="n">
        <v>46412</v>
      </c>
      <c r="B67" s="4" t="inlineStr">
        <is>
          <t>lun</t>
        </is>
      </c>
      <c r="C67" s="6" t="n">
        <v>46412</v>
      </c>
      <c r="D67" s="4" t="inlineStr">
        <is>
          <t>VERANO-PUCP</t>
        </is>
      </c>
      <c r="E67" s="4" t="inlineStr">
        <is>
          <t>Reel</t>
        </is>
      </c>
      <c r="F67" s="4" t="inlineStr">
        <is>
          <t>Valor</t>
        </is>
      </c>
      <c r="G67" s="4" t="inlineStr">
        <is>
          <t>Reel: resolver en 60 segundos una pregunta tipo PUCP del banco ASTROS. Cerrar con 'quedan 20 días'.</t>
        </is>
      </c>
      <c r="H67" s="4" t="inlineStr">
        <is>
          <t>Escribe 'DIAGNÓSTICO' al 902 155 458</t>
        </is>
      </c>
      <c r="I67" s="4" t="inlineStr">
        <is>
          <t>Pendiente</t>
        </is>
      </c>
      <c r="J67" s="4" t="inlineStr"/>
    </row>
    <row r="68">
      <c r="A68" s="6" t="n">
        <v>46412</v>
      </c>
      <c r="B68" s="4" t="inlineStr">
        <is>
          <t>mié</t>
        </is>
      </c>
      <c r="C68" s="6" t="n">
        <v>46414</v>
      </c>
      <c r="D68" s="4" t="inlineStr">
        <is>
          <t>VERANO-ULIMA</t>
        </is>
      </c>
      <c r="E68" s="4" t="inlineStr">
        <is>
          <t>Carrusel</t>
        </is>
      </c>
      <c r="F68" s="4" t="inlineStr">
        <is>
          <t>Lanzamiento</t>
        </is>
      </c>
      <c r="G68" s="4" t="inlineStr">
        <is>
          <t>Carrusel: plan semana a semana para el examen de egresados ULIMA (qué estudiar cada semana).</t>
        </is>
      </c>
      <c r="H68" s="4" t="inlineStr">
        <is>
          <t>Escribe 'DIAGNÓSTICO' al 902 155 458</t>
        </is>
      </c>
      <c r="I68" s="4" t="inlineStr">
        <is>
          <t>Pendiente</t>
        </is>
      </c>
      <c r="J68" s="4" t="inlineStr"/>
    </row>
    <row r="69">
      <c r="A69" s="6" t="n">
        <v>46412</v>
      </c>
      <c r="B69" s="4" t="inlineStr">
        <is>
          <t>vie</t>
        </is>
      </c>
      <c r="C69" s="6" t="n">
        <v>46416</v>
      </c>
      <c r="D69" s="4" t="inlineStr">
        <is>
          <t>VERANO-PUCP</t>
        </is>
      </c>
      <c r="E69" s="4" t="inlineStr">
        <is>
          <t>Historia</t>
        </is>
      </c>
      <c r="F69" s="4" t="inlineStr">
        <is>
          <t>Valor</t>
        </is>
      </c>
      <c r="G69" s="4" t="inlineStr">
        <is>
          <t>Historia: reto diario de 1 pregunta del banco con respuesta al día siguiente.</t>
        </is>
      </c>
      <c r="H69" s="4" t="inlineStr">
        <is>
          <t>Escribe 'DIAGNÓSTICO' al 902 155 458</t>
        </is>
      </c>
      <c r="I69" s="4" t="inlineStr">
        <is>
          <t>Pendiente</t>
        </is>
      </c>
      <c r="J69" s="4" t="inlineStr"/>
    </row>
    <row r="70">
      <c r="A70" s="6" t="n">
        <v>46412</v>
      </c>
      <c r="B70" s="4" t="inlineStr">
        <is>
          <t>sáb</t>
        </is>
      </c>
      <c r="C70" s="6" t="n">
        <v>46417</v>
      </c>
      <c r="D70" s="4" t="inlineStr">
        <is>
          <t>VERANO-PUCP</t>
        </is>
      </c>
      <c r="E70" s="4" t="inlineStr">
        <is>
          <t>WhatsApp</t>
        </is>
      </c>
      <c r="F70" s="4" t="inlineStr">
        <is>
          <t>Valor</t>
        </is>
      </c>
      <c r="G70" s="4" t="inlineStr">
        <is>
          <t>Difusión: guion 'Seguimiento' a leads que no se inscribieron + envío de mini simulacro PDF.</t>
        </is>
      </c>
      <c r="H70" s="4" t="inlineStr">
        <is>
          <t>Escribe 'DIAGNÓSTICO' al 902 155 458</t>
        </is>
      </c>
      <c r="I70" s="4" t="inlineStr">
        <is>
          <t>Pendiente</t>
        </is>
      </c>
      <c r="J70" s="4" t="inlineStr"/>
    </row>
    <row r="71">
      <c r="A71" s="6" t="n">
        <v>46419</v>
      </c>
      <c r="B71" s="4" t="inlineStr">
        <is>
          <t>lun</t>
        </is>
      </c>
      <c r="C71" s="6" t="n">
        <v>46419</v>
      </c>
      <c r="D71" s="4" t="inlineStr">
        <is>
          <t>VERANO-PUCP</t>
        </is>
      </c>
      <c r="E71" s="4" t="inlineStr">
        <is>
          <t>Reel</t>
        </is>
      </c>
      <c r="F71" s="4" t="inlineStr">
        <is>
          <t>Valor</t>
        </is>
      </c>
      <c r="G71" s="4" t="inlineStr">
        <is>
          <t>Reel: 'El truco para no perder tiempo en Razonamiento Matemático' (pregunta del banco tipo PUCP).</t>
        </is>
      </c>
      <c r="H71" s="4" t="inlineStr">
        <is>
          <t>Escribe 'DIAGNÓSTICO' al 902 155 458</t>
        </is>
      </c>
      <c r="I71" s="4" t="inlineStr">
        <is>
          <t>Pendiente</t>
        </is>
      </c>
      <c r="J71" s="4" t="inlineStr"/>
    </row>
    <row r="72">
      <c r="A72" s="6" t="n">
        <v>46419</v>
      </c>
      <c r="B72" s="4" t="inlineStr">
        <is>
          <t>mié</t>
        </is>
      </c>
      <c r="C72" s="6" t="n">
        <v>46421</v>
      </c>
      <c r="D72" s="4" t="inlineStr">
        <is>
          <t>VERANO-ULIMA</t>
        </is>
      </c>
      <c r="E72" s="4" t="inlineStr">
        <is>
          <t>Carrusel</t>
        </is>
      </c>
      <c r="F72" s="4" t="inlineStr">
        <is>
          <t>Lanzamiento</t>
        </is>
      </c>
      <c r="G72" s="4" t="inlineStr">
        <is>
          <t>Carrusel: 'Academia grande vs. tutoría personalizada' para el examen de egresados ULIMA: horarios, atención y avance medible.</t>
        </is>
      </c>
      <c r="H72" s="4" t="inlineStr">
        <is>
          <t>Escribe 'DIAGNÓSTICO' al 902 155 458</t>
        </is>
      </c>
      <c r="I72" s="4" t="inlineStr">
        <is>
          <t>Pendiente</t>
        </is>
      </c>
      <c r="J72" s="4" t="inlineStr"/>
    </row>
    <row r="73">
      <c r="A73" s="6" t="n">
        <v>46419</v>
      </c>
      <c r="B73" s="4" t="inlineStr">
        <is>
          <t>vie</t>
        </is>
      </c>
      <c r="C73" s="6" t="n">
        <v>46423</v>
      </c>
      <c r="D73" s="4" t="inlineStr">
        <is>
          <t>VERANO-PUCP</t>
        </is>
      </c>
      <c r="E73" s="4" t="inlineStr">
        <is>
          <t>Historia</t>
        </is>
      </c>
      <c r="F73" s="4" t="inlineStr">
        <is>
          <t>Valor</t>
        </is>
      </c>
      <c r="G73" s="4" t="inlineStr">
        <is>
          <t>Historia: resultado del mini simulacro de la semana (promedio del grupo, sin nombres).</t>
        </is>
      </c>
      <c r="H73" s="4" t="inlineStr">
        <is>
          <t>Escribe 'DIAGNÓSTICO' al 902 155 458</t>
        </is>
      </c>
      <c r="I73" s="4" t="inlineStr">
        <is>
          <t>Pendiente</t>
        </is>
      </c>
      <c r="J73" s="4" t="inlineStr"/>
    </row>
    <row r="74">
      <c r="A74" s="6" t="n">
        <v>46419</v>
      </c>
      <c r="B74" s="4" t="inlineStr">
        <is>
          <t>sáb</t>
        </is>
      </c>
      <c r="C74" s="6" t="n">
        <v>46424</v>
      </c>
      <c r="D74" s="4" t="inlineStr">
        <is>
          <t>VERANO-PUCP</t>
        </is>
      </c>
      <c r="E74" s="4" t="inlineStr">
        <is>
          <t>WhatsApp</t>
        </is>
      </c>
      <c r="F74" s="4" t="inlineStr">
        <is>
          <t>Valor</t>
        </is>
      </c>
      <c r="G74" s="4" t="inlineStr">
        <is>
          <t>Difusión: invitación al simulacro gratuito del sábado (cupos limitados).</t>
        </is>
      </c>
      <c r="H74" s="4" t="inlineStr">
        <is>
          <t>Escribe 'DIAGNÓSTICO' al 902 155 458</t>
        </is>
      </c>
      <c r="I74" s="4" t="inlineStr">
        <is>
          <t>Pendiente</t>
        </is>
      </c>
      <c r="J74" s="4" t="inlineStr"/>
    </row>
    <row r="75">
      <c r="A75" s="6" t="n">
        <v>46426</v>
      </c>
      <c r="B75" s="4" t="inlineStr">
        <is>
          <t>lun</t>
        </is>
      </c>
      <c r="C75" s="6" t="n">
        <v>46426</v>
      </c>
      <c r="D75" s="4" t="inlineStr">
        <is>
          <t>VERANO-PUCP</t>
        </is>
      </c>
      <c r="E75" s="4" t="inlineStr">
        <is>
          <t>Reel</t>
        </is>
      </c>
      <c r="F75" s="4" t="inlineStr">
        <is>
          <t>Urgencia</t>
        </is>
      </c>
      <c r="G75" s="4" t="inlineStr">
        <is>
          <t>Reel: 'Faltan 6 días para la Evaluación del Talento PUCP: esto es lo que haría yo esta semana.'</t>
        </is>
      </c>
      <c r="H75" s="4" t="inlineStr">
        <is>
          <t>Escribe 'DIAGNÓSTICO' al 902 155 458</t>
        </is>
      </c>
      <c r="I75" s="4" t="inlineStr">
        <is>
          <t>Pendiente</t>
        </is>
      </c>
      <c r="J75" s="4" t="inlineStr"/>
    </row>
    <row r="76">
      <c r="A76" s="6" t="n">
        <v>46426</v>
      </c>
      <c r="B76" s="4" t="inlineStr">
        <is>
          <t>mié</t>
        </is>
      </c>
      <c r="C76" s="6" t="n">
        <v>46428</v>
      </c>
      <c r="D76" s="4" t="inlineStr">
        <is>
          <t>VERANO-ULIMA</t>
        </is>
      </c>
      <c r="E76" s="4" t="inlineStr">
        <is>
          <t>Carrusel</t>
        </is>
      </c>
      <c r="F76" s="4" t="inlineStr">
        <is>
          <t>Lanzamiento</t>
        </is>
      </c>
      <c r="G76" s="4" t="inlineStr">
        <is>
          <t>Carrusel: 'Cómo es el examen de egresados ULIMA': áreas que evalúa y cómo prepararte en 3 semanas.</t>
        </is>
      </c>
      <c r="H76" s="4" t="inlineStr">
        <is>
          <t>Escribe 'DIAGNÓSTICO' al 902 155 458</t>
        </is>
      </c>
      <c r="I76" s="4" t="inlineStr">
        <is>
          <t>Pendiente</t>
        </is>
      </c>
      <c r="J76" s="4" t="inlineStr"/>
    </row>
    <row r="77">
      <c r="A77" s="6" t="n">
        <v>46426</v>
      </c>
      <c r="B77" s="4" t="inlineStr">
        <is>
          <t>vie</t>
        </is>
      </c>
      <c r="C77" s="6" t="n">
        <v>46430</v>
      </c>
      <c r="D77" s="4" t="inlineStr">
        <is>
          <t>VERANO-PUCP</t>
        </is>
      </c>
      <c r="E77" s="4" t="inlineStr">
        <is>
          <t>Historia</t>
        </is>
      </c>
      <c r="F77" s="4" t="inlineStr">
        <is>
          <t>Urgencia</t>
        </is>
      </c>
      <c r="G77" s="4" t="inlineStr">
        <is>
          <t>Historia: cuenta regresiva a la Evaluación del Talento PUCP + 'últimos cupos para el simulacro final'.</t>
        </is>
      </c>
      <c r="H77" s="4" t="inlineStr">
        <is>
          <t>Escribe 'DIAGNÓSTICO' al 902 155 458</t>
        </is>
      </c>
      <c r="I77" s="4" t="inlineStr">
        <is>
          <t>Pendiente</t>
        </is>
      </c>
      <c r="J77" s="4" t="inlineStr"/>
    </row>
    <row r="78">
      <c r="A78" s="6" t="n">
        <v>46426</v>
      </c>
      <c r="B78" s="4" t="inlineStr">
        <is>
          <t>sáb</t>
        </is>
      </c>
      <c r="C78" s="6" t="n">
        <v>46431</v>
      </c>
      <c r="D78" s="4" t="inlineStr">
        <is>
          <t>VERANO-PUCP</t>
        </is>
      </c>
      <c r="E78" s="4" t="inlineStr">
        <is>
          <t>WhatsApp</t>
        </is>
      </c>
      <c r="F78" s="4" t="inlineStr">
        <is>
          <t>Urgencia</t>
        </is>
      </c>
      <c r="G78" s="4" t="inlineStr">
        <is>
          <t>Difusión: guion 'Simulacro final' + recordatorio de inscripción.</t>
        </is>
      </c>
      <c r="H78" s="4" t="inlineStr">
        <is>
          <t>Escribe 'DIAGNÓSTICO' al 902 155 458</t>
        </is>
      </c>
      <c r="I78" s="4" t="inlineStr">
        <is>
          <t>Pendiente</t>
        </is>
      </c>
      <c r="J78" s="4" t="inlineStr"/>
    </row>
    <row r="79">
      <c r="A79" s="6" t="n">
        <v>46433</v>
      </c>
      <c r="B79" s="4" t="inlineStr">
        <is>
          <t>lun</t>
        </is>
      </c>
      <c r="C79" s="6" t="n">
        <v>46433</v>
      </c>
      <c r="D79" s="4" t="inlineStr">
        <is>
          <t>VERANO-ULIMA</t>
        </is>
      </c>
      <c r="E79" s="4" t="inlineStr">
        <is>
          <t>Reel</t>
        </is>
      </c>
      <c r="F79" s="4" t="inlineStr">
        <is>
          <t>Valor</t>
        </is>
      </c>
      <c r="G79" s="4" t="inlineStr">
        <is>
          <t>Reel: 'El truco para no perder tiempo en Razonamiento Matemático' (pregunta del banco tipo ULIMA).</t>
        </is>
      </c>
      <c r="H79" s="4" t="inlineStr">
        <is>
          <t>Escribe 'DIAGNÓSTICO' al 902 155 458</t>
        </is>
      </c>
      <c r="I79" s="4" t="inlineStr">
        <is>
          <t>Pendiente</t>
        </is>
      </c>
      <c r="J79" s="4" t="inlineStr"/>
    </row>
    <row r="80">
      <c r="A80" s="6" t="n">
        <v>46433</v>
      </c>
      <c r="B80" s="4" t="inlineStr">
        <is>
          <t>mié</t>
        </is>
      </c>
      <c r="C80" s="6" t="n">
        <v>46435</v>
      </c>
      <c r="D80" s="4" t="inlineStr">
        <is>
          <t>CACHIMBOS</t>
        </is>
      </c>
      <c r="E80" s="4" t="inlineStr">
        <is>
          <t>Carrusel</t>
        </is>
      </c>
      <c r="F80" s="4" t="inlineStr">
        <is>
          <t>Lanzamiento</t>
        </is>
      </c>
      <c r="G80" s="4" t="inlineStr">
        <is>
          <t>Primer ciclo sin sustos: practica tus EP y exámenes con un tutor que conoce el curso de tu universidad.</t>
        </is>
      </c>
      <c r="H80" s="4" t="inlineStr">
        <is>
          <t>Escribe 'CACHIMBO' al 902 155 458</t>
        </is>
      </c>
      <c r="I80" s="4" t="inlineStr">
        <is>
          <t>Pendiente</t>
        </is>
      </c>
      <c r="J80" s="4" t="inlineStr"/>
    </row>
    <row r="81">
      <c r="A81" s="6" t="n">
        <v>46433</v>
      </c>
      <c r="B81" s="4" t="inlineStr">
        <is>
          <t>vie</t>
        </is>
      </c>
      <c r="C81" s="6" t="n">
        <v>46437</v>
      </c>
      <c r="D81" s="4" t="inlineStr">
        <is>
          <t>VERANO-ULIMA</t>
        </is>
      </c>
      <c r="E81" s="4" t="inlineStr">
        <is>
          <t>Historia</t>
        </is>
      </c>
      <c r="F81" s="4" t="inlineStr">
        <is>
          <t>Valor</t>
        </is>
      </c>
      <c r="G81" s="4" t="inlineStr">
        <is>
          <t>Historia: resultado del mini simulacro de la semana (promedio del grupo, sin nombres).</t>
        </is>
      </c>
      <c r="H81" s="4" t="inlineStr">
        <is>
          <t>Escribe 'DIAGNÓSTICO' al 902 155 458</t>
        </is>
      </c>
      <c r="I81" s="4" t="inlineStr">
        <is>
          <t>Pendiente</t>
        </is>
      </c>
      <c r="J81" s="4" t="inlineStr"/>
    </row>
    <row r="82">
      <c r="A82" s="6" t="n">
        <v>46433</v>
      </c>
      <c r="B82" s="4" t="inlineStr">
        <is>
          <t>sáb</t>
        </is>
      </c>
      <c r="C82" s="6" t="n">
        <v>46438</v>
      </c>
      <c r="D82" s="4" t="inlineStr">
        <is>
          <t>VERANO-ULIMA</t>
        </is>
      </c>
      <c r="E82" s="4" t="inlineStr">
        <is>
          <t>WhatsApp</t>
        </is>
      </c>
      <c r="F82" s="4" t="inlineStr">
        <is>
          <t>Valor</t>
        </is>
      </c>
      <c r="G82" s="4" t="inlineStr">
        <is>
          <t>Difusión: invitación al simulacro gratuito del sábado (cupos limitados).</t>
        </is>
      </c>
      <c r="H82" s="4" t="inlineStr">
        <is>
          <t>Escribe 'DIAGNÓSTICO' al 902 155 458</t>
        </is>
      </c>
      <c r="I82" s="4" t="inlineStr">
        <is>
          <t>Pendiente</t>
        </is>
      </c>
      <c r="J82" s="4" t="inlineStr"/>
    </row>
    <row r="83">
      <c r="A83" s="6" t="n">
        <v>46440</v>
      </c>
      <c r="B83" s="4" t="inlineStr">
        <is>
          <t>lun</t>
        </is>
      </c>
      <c r="C83" s="6" t="n">
        <v>46440</v>
      </c>
      <c r="D83" s="4" t="inlineStr">
        <is>
          <t>VERANO-ULIMA</t>
        </is>
      </c>
      <c r="E83" s="4" t="inlineStr">
        <is>
          <t>Reel</t>
        </is>
      </c>
      <c r="F83" s="4" t="inlineStr">
        <is>
          <t>Valor</t>
        </is>
      </c>
      <c r="G83" s="4" t="inlineStr">
        <is>
          <t>Reel: resolver en 60 segundos una pregunta tipo ULIMA del banco ASTROS. Cerrar con 'quedan 13 días'.</t>
        </is>
      </c>
      <c r="H83" s="4" t="inlineStr">
        <is>
          <t>Escribe 'DIAGNÓSTICO' al 902 155 458</t>
        </is>
      </c>
      <c r="I83" s="4" t="inlineStr">
        <is>
          <t>Pendiente</t>
        </is>
      </c>
      <c r="J83" s="4" t="inlineStr"/>
    </row>
    <row r="84">
      <c r="A84" s="6" t="n">
        <v>46440</v>
      </c>
      <c r="B84" s="4" t="inlineStr">
        <is>
          <t>mié</t>
        </is>
      </c>
      <c r="C84" s="6" t="n">
        <v>46442</v>
      </c>
      <c r="D84" s="4" t="inlineStr">
        <is>
          <t>CACHIMBOS</t>
        </is>
      </c>
      <c r="E84" s="4" t="inlineStr">
        <is>
          <t>Carrusel</t>
        </is>
      </c>
      <c r="F84" s="4" t="inlineStr">
        <is>
          <t>Lanzamiento</t>
        </is>
      </c>
      <c r="G84" s="4" t="inlineStr">
        <is>
          <t>Primer ciclo sin sustos: practica tus EP y exámenes con un tutor que conoce el curso de tu universidad.</t>
        </is>
      </c>
      <c r="H84" s="4" t="inlineStr">
        <is>
          <t>Escribe 'CACHIMBO' al 902 155 458</t>
        </is>
      </c>
      <c r="I84" s="4" t="inlineStr">
        <is>
          <t>Pendiente</t>
        </is>
      </c>
      <c r="J84" s="4" t="inlineStr"/>
    </row>
    <row r="85">
      <c r="A85" s="6" t="n">
        <v>46440</v>
      </c>
      <c r="B85" s="4" t="inlineStr">
        <is>
          <t>vie</t>
        </is>
      </c>
      <c r="C85" s="6" t="n">
        <v>46444</v>
      </c>
      <c r="D85" s="4" t="inlineStr">
        <is>
          <t>VERANO-ULIMA</t>
        </is>
      </c>
      <c r="E85" s="4" t="inlineStr">
        <is>
          <t>Historia</t>
        </is>
      </c>
      <c r="F85" s="4" t="inlineStr">
        <is>
          <t>Valor</t>
        </is>
      </c>
      <c r="G85" s="4" t="inlineStr">
        <is>
          <t>Historia: reto diario de 1 pregunta del banco con respuesta al día siguiente.</t>
        </is>
      </c>
      <c r="H85" s="4" t="inlineStr">
        <is>
          <t>Escribe 'DIAGNÓSTICO' al 902 155 458</t>
        </is>
      </c>
      <c r="I85" s="4" t="inlineStr">
        <is>
          <t>Pendiente</t>
        </is>
      </c>
      <c r="J85" s="4" t="inlineStr"/>
    </row>
    <row r="86">
      <c r="A86" s="6" t="n">
        <v>46440</v>
      </c>
      <c r="B86" s="4" t="inlineStr">
        <is>
          <t>sáb</t>
        </is>
      </c>
      <c r="C86" s="6" t="n">
        <v>46445</v>
      </c>
      <c r="D86" s="4" t="inlineStr">
        <is>
          <t>VERANO-ULIMA</t>
        </is>
      </c>
      <c r="E86" s="4" t="inlineStr">
        <is>
          <t>WhatsApp</t>
        </is>
      </c>
      <c r="F86" s="4" t="inlineStr">
        <is>
          <t>Valor</t>
        </is>
      </c>
      <c r="G86" s="4" t="inlineStr">
        <is>
          <t>Difusión: guion 'Seguimiento' a leads que no se inscribieron + envío de mini simulacro PDF.</t>
        </is>
      </c>
      <c r="H86" s="4" t="inlineStr">
        <is>
          <t>Escribe 'DIAGNÓSTICO' al 902 155 458</t>
        </is>
      </c>
      <c r="I86" s="4" t="inlineStr">
        <is>
          <t>Pendiente</t>
        </is>
      </c>
      <c r="J86" s="4" t="inlineStr"/>
    </row>
    <row r="87">
      <c r="A87" s="6" t="n">
        <v>46447</v>
      </c>
      <c r="B87" s="4" t="inlineStr">
        <is>
          <t>lun</t>
        </is>
      </c>
      <c r="C87" s="6" t="n">
        <v>46447</v>
      </c>
      <c r="D87" s="4" t="inlineStr">
        <is>
          <t>VERANO-ULIMA</t>
        </is>
      </c>
      <c r="E87" s="4" t="inlineStr">
        <is>
          <t>Reel</t>
        </is>
      </c>
      <c r="F87" s="4" t="inlineStr">
        <is>
          <t>Urgencia</t>
        </is>
      </c>
      <c r="G87" s="4" t="inlineStr">
        <is>
          <t>Reel: 'Faltan 6 días para el examen de egresados ULIMA: esto es lo que haría yo esta semana.'</t>
        </is>
      </c>
      <c r="H87" s="4" t="inlineStr">
        <is>
          <t>Escribe 'DIAGNÓSTICO' al 902 155 458</t>
        </is>
      </c>
      <c r="I87" s="4" t="inlineStr">
        <is>
          <t>Pendiente</t>
        </is>
      </c>
      <c r="J87" s="4" t="inlineStr"/>
    </row>
    <row r="88">
      <c r="A88" s="6" t="n">
        <v>46447</v>
      </c>
      <c r="B88" s="4" t="inlineStr">
        <is>
          <t>mié</t>
        </is>
      </c>
      <c r="C88" s="6" t="n">
        <v>46449</v>
      </c>
      <c r="D88" s="4" t="inlineStr">
        <is>
          <t>CACHIMBOS</t>
        </is>
      </c>
      <c r="E88" s="4" t="inlineStr">
        <is>
          <t>Carrusel</t>
        </is>
      </c>
      <c r="F88" s="4" t="inlineStr">
        <is>
          <t>Lanzamiento</t>
        </is>
      </c>
      <c r="G88" s="4" t="inlineStr">
        <is>
          <t>Primer ciclo sin sustos: practica tus EP y exámenes con un tutor que conoce el curso de tu universidad.</t>
        </is>
      </c>
      <c r="H88" s="4" t="inlineStr">
        <is>
          <t>Escribe 'CACHIMBO' al 902 155 458</t>
        </is>
      </c>
      <c r="I88" s="4" t="inlineStr">
        <is>
          <t>Pendiente</t>
        </is>
      </c>
      <c r="J88" s="4" t="inlineStr"/>
    </row>
    <row r="89">
      <c r="A89" s="6" t="n">
        <v>46447</v>
      </c>
      <c r="B89" s="4" t="inlineStr">
        <is>
          <t>vie</t>
        </is>
      </c>
      <c r="C89" s="6" t="n">
        <v>46451</v>
      </c>
      <c r="D89" s="4" t="inlineStr">
        <is>
          <t>VERANO-ULIMA</t>
        </is>
      </c>
      <c r="E89" s="4" t="inlineStr">
        <is>
          <t>Historia</t>
        </is>
      </c>
      <c r="F89" s="4" t="inlineStr">
        <is>
          <t>Urgencia</t>
        </is>
      </c>
      <c r="G89" s="4" t="inlineStr">
        <is>
          <t>Historia: cuenta regresiva al examen de egresados ULIMA + 'últimos cupos para el simulacro final'.</t>
        </is>
      </c>
      <c r="H89" s="4" t="inlineStr">
        <is>
          <t>Escribe 'DIAGNÓSTICO' al 902 155 458</t>
        </is>
      </c>
      <c r="I89" s="4" t="inlineStr">
        <is>
          <t>Pendiente</t>
        </is>
      </c>
      <c r="J89" s="4" t="inlineStr"/>
    </row>
    <row r="90">
      <c r="A90" s="6" t="n">
        <v>46447</v>
      </c>
      <c r="B90" s="4" t="inlineStr">
        <is>
          <t>sáb</t>
        </is>
      </c>
      <c r="C90" s="6" t="n">
        <v>46452</v>
      </c>
      <c r="D90" s="4" t="inlineStr">
        <is>
          <t>VERANO-ULIMA</t>
        </is>
      </c>
      <c r="E90" s="4" t="inlineStr">
        <is>
          <t>WhatsApp</t>
        </is>
      </c>
      <c r="F90" s="4" t="inlineStr">
        <is>
          <t>Urgencia</t>
        </is>
      </c>
      <c r="G90" s="4" t="inlineStr">
        <is>
          <t>Difusión: guion 'Simulacro final' + recordatorio de inscripción.</t>
        </is>
      </c>
      <c r="H90" s="4" t="inlineStr">
        <is>
          <t>Escribe 'DIAGNÓSTICO' al 902 155 458</t>
        </is>
      </c>
      <c r="I90" s="4" t="inlineStr">
        <is>
          <t>Pendiente</t>
        </is>
      </c>
      <c r="J90" s="4" t="inlineStr"/>
    </row>
    <row r="91">
      <c r="A91" s="6" t="n">
        <v>46454</v>
      </c>
      <c r="B91" s="4" t="inlineStr">
        <is>
          <t>lun</t>
        </is>
      </c>
      <c r="C91" s="6" t="n">
        <v>46454</v>
      </c>
      <c r="D91" s="4" t="inlineStr">
        <is>
          <t>CACHIMBOS</t>
        </is>
      </c>
      <c r="E91" s="4" t="inlineStr">
        <is>
          <t>Reel</t>
        </is>
      </c>
      <c r="F91" s="4" t="inlineStr">
        <is>
          <t>Valor</t>
        </is>
      </c>
      <c r="G91" s="4" t="inlineStr">
        <is>
          <t>Primer ciclo sin sustos: practica tus EP y exámenes con un tutor que conoce el curso de tu universidad.</t>
        </is>
      </c>
      <c r="H91" s="4" t="inlineStr">
        <is>
          <t>Escribe 'CACHIMBO' al 902 155 458</t>
        </is>
      </c>
      <c r="I91" s="4" t="inlineStr">
        <is>
          <t>Pendiente</t>
        </is>
      </c>
      <c r="J91" s="4" t="inlineStr"/>
    </row>
    <row r="92">
      <c r="A92" s="6" t="n">
        <v>46454</v>
      </c>
      <c r="B92" s="4" t="inlineStr">
        <is>
          <t>mié</t>
        </is>
      </c>
      <c r="C92" s="6" t="n">
        <v>46456</v>
      </c>
      <c r="D92" s="4" t="inlineStr">
        <is>
          <t>CACHIMBOS</t>
        </is>
      </c>
      <c r="E92" s="4" t="inlineStr">
        <is>
          <t>Carrusel</t>
        </is>
      </c>
      <c r="F92" s="4" t="inlineStr">
        <is>
          <t>Valor</t>
        </is>
      </c>
      <c r="G92" s="4" t="inlineStr">
        <is>
          <t>Primer ciclo sin sustos: practica tus EP y exámenes con un tutor que conoce el curso de tu universidad.</t>
        </is>
      </c>
      <c r="H92" s="4" t="inlineStr">
        <is>
          <t>Escribe 'CACHIMBO' al 902 155 458</t>
        </is>
      </c>
      <c r="I92" s="4" t="inlineStr">
        <is>
          <t>Pendiente</t>
        </is>
      </c>
      <c r="J92" s="4" t="inlineStr"/>
    </row>
    <row r="93">
      <c r="A93" s="6" t="n">
        <v>46454</v>
      </c>
      <c r="B93" s="4" t="inlineStr">
        <is>
          <t>vie</t>
        </is>
      </c>
      <c r="C93" s="6" t="n">
        <v>46458</v>
      </c>
      <c r="D93" s="4" t="inlineStr">
        <is>
          <t>CACHIMBOS</t>
        </is>
      </c>
      <c r="E93" s="4" t="inlineStr">
        <is>
          <t>Historia</t>
        </is>
      </c>
      <c r="F93" s="4" t="inlineStr">
        <is>
          <t>Valor</t>
        </is>
      </c>
      <c r="G93" s="4" t="inlineStr">
        <is>
          <t>Primer ciclo sin sustos: practica tus EP y exámenes con un tutor que conoce el curso de tu universidad.</t>
        </is>
      </c>
      <c r="H93" s="4" t="inlineStr">
        <is>
          <t>Escribe 'CACHIMBO' al 902 155 458</t>
        </is>
      </c>
      <c r="I93" s="4" t="inlineStr">
        <is>
          <t>Pendiente</t>
        </is>
      </c>
      <c r="J93" s="4" t="inlineStr"/>
    </row>
    <row r="94">
      <c r="A94" s="6" t="n">
        <v>46454</v>
      </c>
      <c r="B94" s="4" t="inlineStr">
        <is>
          <t>sáb</t>
        </is>
      </c>
      <c r="C94" s="6" t="n">
        <v>46459</v>
      </c>
      <c r="D94" s="4" t="inlineStr">
        <is>
          <t>CACHIMBOS</t>
        </is>
      </c>
      <c r="E94" s="4" t="inlineStr">
        <is>
          <t>WhatsApp</t>
        </is>
      </c>
      <c r="F94" s="4" t="inlineStr">
        <is>
          <t>Valor</t>
        </is>
      </c>
      <c r="G94" s="4" t="inlineStr">
        <is>
          <t>Primer ciclo sin sustos: practica tus EP y exámenes con un tutor que conoce el curso de tu universidad.</t>
        </is>
      </c>
      <c r="H94" s="4" t="inlineStr">
        <is>
          <t>Escribe 'CACHIMBO' al 902 155 458</t>
        </is>
      </c>
      <c r="I94" s="4" t="inlineStr">
        <is>
          <t>Pendiente</t>
        </is>
      </c>
      <c r="J94" s="4" t="inlineStr"/>
    </row>
    <row r="95">
      <c r="A95" s="6" t="n">
        <v>46461</v>
      </c>
      <c r="B95" s="4" t="inlineStr">
        <is>
          <t>lun</t>
        </is>
      </c>
      <c r="C95" s="6" t="n">
        <v>46461</v>
      </c>
      <c r="D95" s="4" t="inlineStr">
        <is>
          <t>CACHIMBOS</t>
        </is>
      </c>
      <c r="E95" s="4" t="inlineStr">
        <is>
          <t>Reel</t>
        </is>
      </c>
      <c r="F95" s="4" t="inlineStr">
        <is>
          <t>Valor</t>
        </is>
      </c>
      <c r="G95" s="4" t="inlineStr">
        <is>
          <t>Primer ciclo sin sustos: practica tus EP y exámenes con un tutor que conoce el curso de tu universidad.</t>
        </is>
      </c>
      <c r="H95" s="4" t="inlineStr">
        <is>
          <t>Escribe 'CACHIMBO' al 902 155 458</t>
        </is>
      </c>
      <c r="I95" s="4" t="inlineStr">
        <is>
          <t>Pendiente</t>
        </is>
      </c>
      <c r="J95" s="4" t="inlineStr"/>
    </row>
    <row r="96">
      <c r="A96" s="6" t="n">
        <v>46461</v>
      </c>
      <c r="B96" s="4" t="inlineStr">
        <is>
          <t>mié</t>
        </is>
      </c>
      <c r="C96" s="6" t="n">
        <v>46463</v>
      </c>
      <c r="D96" s="4" t="inlineStr">
        <is>
          <t>CACHIMBOS</t>
        </is>
      </c>
      <c r="E96" s="4" t="inlineStr">
        <is>
          <t>Carrusel</t>
        </is>
      </c>
      <c r="F96" s="4" t="inlineStr">
        <is>
          <t>Valor</t>
        </is>
      </c>
      <c r="G96" s="4" t="inlineStr">
        <is>
          <t>Primer ciclo sin sustos: practica tus EP y exámenes con un tutor que conoce el curso de tu universidad.</t>
        </is>
      </c>
      <c r="H96" s="4" t="inlineStr">
        <is>
          <t>Escribe 'CACHIMBO' al 902 155 458</t>
        </is>
      </c>
      <c r="I96" s="4" t="inlineStr">
        <is>
          <t>Pendiente</t>
        </is>
      </c>
      <c r="J96" s="4" t="inlineStr"/>
    </row>
    <row r="97">
      <c r="A97" s="6" t="n">
        <v>46461</v>
      </c>
      <c r="B97" s="4" t="inlineStr">
        <is>
          <t>vie</t>
        </is>
      </c>
      <c r="C97" s="6" t="n">
        <v>46465</v>
      </c>
      <c r="D97" s="4" t="inlineStr">
        <is>
          <t>CACHIMBOS</t>
        </is>
      </c>
      <c r="E97" s="4" t="inlineStr">
        <is>
          <t>Historia</t>
        </is>
      </c>
      <c r="F97" s="4" t="inlineStr">
        <is>
          <t>Valor</t>
        </is>
      </c>
      <c r="G97" s="4" t="inlineStr">
        <is>
          <t>Primer ciclo sin sustos: practica tus EP y exámenes con un tutor que conoce el curso de tu universidad.</t>
        </is>
      </c>
      <c r="H97" s="4" t="inlineStr">
        <is>
          <t>Escribe 'CACHIMBO' al 902 155 458</t>
        </is>
      </c>
      <c r="I97" s="4" t="inlineStr">
        <is>
          <t>Pendiente</t>
        </is>
      </c>
      <c r="J97" s="4" t="inlineStr"/>
    </row>
    <row r="98">
      <c r="A98" s="6" t="n">
        <v>46461</v>
      </c>
      <c r="B98" s="4" t="inlineStr">
        <is>
          <t>sáb</t>
        </is>
      </c>
      <c r="C98" s="6" t="n">
        <v>46466</v>
      </c>
      <c r="D98" s="4" t="inlineStr">
        <is>
          <t>CACHIMBOS</t>
        </is>
      </c>
      <c r="E98" s="4" t="inlineStr">
        <is>
          <t>WhatsApp</t>
        </is>
      </c>
      <c r="F98" s="4" t="inlineStr">
        <is>
          <t>Valor</t>
        </is>
      </c>
      <c r="G98" s="4" t="inlineStr">
        <is>
          <t>Primer ciclo sin sustos: practica tus EP y exámenes con un tutor que conoce el curso de tu universidad.</t>
        </is>
      </c>
      <c r="H98" s="4" t="inlineStr">
        <is>
          <t>Escribe 'CACHIMBO' al 902 155 458</t>
        </is>
      </c>
      <c r="I98" s="4" t="inlineStr">
        <is>
          <t>Pendiente</t>
        </is>
      </c>
      <c r="J98" s="4" t="inlineStr"/>
    </row>
    <row r="99">
      <c r="A99" s="6" t="n">
        <v>46468</v>
      </c>
      <c r="B99" s="4" t="inlineStr">
        <is>
          <t>lun</t>
        </is>
      </c>
      <c r="C99" s="6" t="n">
        <v>46468</v>
      </c>
      <c r="D99" s="4" t="inlineStr">
        <is>
          <t>CACHIMBOS</t>
        </is>
      </c>
      <c r="E99" s="4" t="inlineStr">
        <is>
          <t>Reel</t>
        </is>
      </c>
      <c r="F99" s="4" t="inlineStr">
        <is>
          <t>Urgencia</t>
        </is>
      </c>
      <c r="G99" s="4" t="inlineStr">
        <is>
          <t>Primer ciclo sin sustos: practica tus EP y exámenes con un tutor que conoce el curso de tu universidad.</t>
        </is>
      </c>
      <c r="H99" s="4" t="inlineStr">
        <is>
          <t>Escribe 'CACHIMBO' al 902 155 458</t>
        </is>
      </c>
      <c r="I99" s="4" t="inlineStr">
        <is>
          <t>Pendiente</t>
        </is>
      </c>
      <c r="J99" s="4" t="inlineStr"/>
    </row>
    <row r="100">
      <c r="A100" s="6" t="n">
        <v>46468</v>
      </c>
      <c r="B100" s="4" t="inlineStr">
        <is>
          <t>mié</t>
        </is>
      </c>
      <c r="C100" s="6" t="n">
        <v>46470</v>
      </c>
      <c r="D100" s="4" t="inlineStr">
        <is>
          <t>CACHIMBOS</t>
        </is>
      </c>
      <c r="E100" s="4" t="inlineStr">
        <is>
          <t>Carrusel</t>
        </is>
      </c>
      <c r="F100" s="4" t="inlineStr">
        <is>
          <t>Urgencia</t>
        </is>
      </c>
      <c r="G100" s="4" t="inlineStr">
        <is>
          <t>Primer ciclo sin sustos: practica tus EP y exámenes con un tutor que conoce el curso de tu universidad.</t>
        </is>
      </c>
      <c r="H100" s="4" t="inlineStr">
        <is>
          <t>Escribe 'CACHIMBO' al 902 155 458</t>
        </is>
      </c>
      <c r="I100" s="4" t="inlineStr">
        <is>
          <t>Pendiente</t>
        </is>
      </c>
      <c r="J100" s="4" t="inlineStr"/>
    </row>
    <row r="101">
      <c r="A101" s="6" t="n">
        <v>46468</v>
      </c>
      <c r="B101" s="4" t="inlineStr">
        <is>
          <t>vie</t>
        </is>
      </c>
      <c r="C101" s="6" t="n">
        <v>46472</v>
      </c>
      <c r="D101" s="4" t="inlineStr">
        <is>
          <t>CACHIMBOS</t>
        </is>
      </c>
      <c r="E101" s="4" t="inlineStr">
        <is>
          <t>Historia</t>
        </is>
      </c>
      <c r="F101" s="4" t="inlineStr">
        <is>
          <t>Urgencia</t>
        </is>
      </c>
      <c r="G101" s="4" t="inlineStr">
        <is>
          <t>Primer ciclo sin sustos: practica tus EP y exámenes con un tutor que conoce el curso de tu universidad.</t>
        </is>
      </c>
      <c r="H101" s="4" t="inlineStr">
        <is>
          <t>Escribe 'CACHIMBO' al 902 155 458</t>
        </is>
      </c>
      <c r="I101" s="4" t="inlineStr">
        <is>
          <t>Pendiente</t>
        </is>
      </c>
      <c r="J101" s="4" t="inlineStr"/>
    </row>
    <row r="102">
      <c r="A102" s="6" t="n">
        <v>46468</v>
      </c>
      <c r="B102" s="4" t="inlineStr">
        <is>
          <t>sáb</t>
        </is>
      </c>
      <c r="C102" s="6" t="n">
        <v>46473</v>
      </c>
      <c r="D102" s="4" t="inlineStr">
        <is>
          <t>CACHIMBOS</t>
        </is>
      </c>
      <c r="E102" s="4" t="inlineStr">
        <is>
          <t>WhatsApp</t>
        </is>
      </c>
      <c r="F102" s="4" t="inlineStr">
        <is>
          <t>Urgencia</t>
        </is>
      </c>
      <c r="G102" s="4" t="inlineStr">
        <is>
          <t>Primer ciclo sin sustos: practica tus EP y exámenes con un tutor que conoce el curso de tu universidad.</t>
        </is>
      </c>
      <c r="H102" s="4" t="inlineStr">
        <is>
          <t>Escribe 'CACHIMBO' al 902 155 458</t>
        </is>
      </c>
      <c r="I102" s="4" t="inlineStr">
        <is>
          <t>Pendiente</t>
        </is>
      </c>
      <c r="J102" s="4" t="inlineStr"/>
    </row>
    <row r="103">
      <c r="A103" s="6" t="n">
        <v>46475</v>
      </c>
      <c r="B103" s="4" t="inlineStr">
        <is>
          <t>lun</t>
        </is>
      </c>
      <c r="C103" s="6" t="n">
        <v>46475</v>
      </c>
      <c r="D103" s="4" t="inlineStr">
        <is>
          <t>CACHIMBOS</t>
        </is>
      </c>
      <c r="E103" s="4" t="inlineStr">
        <is>
          <t>Reel</t>
        </is>
      </c>
      <c r="F103" s="4" t="inlineStr">
        <is>
          <t>Urgencia</t>
        </is>
      </c>
      <c r="G103" s="4" t="inlineStr">
        <is>
          <t>Primer ciclo sin sustos: practica tus EP y exámenes con un tutor que conoce el curso de tu universidad.</t>
        </is>
      </c>
      <c r="H103" s="4" t="inlineStr">
        <is>
          <t>Escribe 'CACHIMBO' al 902 155 458</t>
        </is>
      </c>
      <c r="I103" s="4" t="inlineStr">
        <is>
          <t>Pendiente</t>
        </is>
      </c>
      <c r="J103" s="4" t="inlineStr"/>
    </row>
    <row r="104">
      <c r="A104" s="6" t="n">
        <v>46475</v>
      </c>
      <c r="B104" s="4" t="inlineStr">
        <is>
          <t>mié</t>
        </is>
      </c>
      <c r="C104" s="6" t="n">
        <v>46477</v>
      </c>
      <c r="D104" s="4" t="inlineStr">
        <is>
          <t>ORGANICO</t>
        </is>
      </c>
      <c r="E104" s="4" t="inlineStr">
        <is>
          <t>Carrusel</t>
        </is>
      </c>
      <c r="F104" s="4" t="inlineStr">
        <is>
          <t>Siempre</t>
        </is>
      </c>
      <c r="G104" s="4" t="inlineStr">
        <is>
          <t>Frase ASTROS de la semana + tip de estudio</t>
        </is>
      </c>
      <c r="H104" s="4" t="inlineStr">
        <is>
          <t>Seguir a @1.masesores</t>
        </is>
      </c>
      <c r="I104" s="4" t="inlineStr">
        <is>
          <t>Pendiente</t>
        </is>
      </c>
      <c r="J104" s="4" t="inlineStr"/>
    </row>
    <row r="105">
      <c r="A105" s="6" t="n">
        <v>46475</v>
      </c>
      <c r="B105" s="4" t="inlineStr">
        <is>
          <t>vie</t>
        </is>
      </c>
      <c r="C105" s="6" t="n">
        <v>46479</v>
      </c>
      <c r="D105" s="4" t="inlineStr">
        <is>
          <t>ORGANICO</t>
        </is>
      </c>
      <c r="E105" s="4" t="inlineStr">
        <is>
          <t>Historia</t>
        </is>
      </c>
      <c r="F105" s="4" t="inlineStr">
        <is>
          <t>Siempre</t>
        </is>
      </c>
      <c r="G105" s="4" t="inlineStr">
        <is>
          <t>Testimonio de alumno (con permiso)</t>
        </is>
      </c>
      <c r="H105" s="4" t="inlineStr">
        <is>
          <t>Seguir a @1.masesores</t>
        </is>
      </c>
      <c r="I105" s="4" t="inlineStr">
        <is>
          <t>Pendiente</t>
        </is>
      </c>
      <c r="J105" s="4" t="inlineStr"/>
    </row>
    <row r="106">
      <c r="A106" s="6" t="n">
        <v>46475</v>
      </c>
      <c r="B106" s="4" t="inlineStr">
        <is>
          <t>sáb</t>
        </is>
      </c>
      <c r="C106" s="6" t="n">
        <v>46480</v>
      </c>
      <c r="D106" s="4" t="inlineStr">
        <is>
          <t>REFERIDOS</t>
        </is>
      </c>
      <c r="E106" s="4" t="inlineStr">
        <is>
          <t>WhatsApp</t>
        </is>
      </c>
      <c r="F106" s="4" t="inlineStr">
        <is>
          <t>Siempre</t>
        </is>
      </c>
      <c r="G106" s="4" t="inlineStr">
        <is>
          <t>Difusión: guion 'Referidos' a alumnos y ex alumnos.</t>
        </is>
      </c>
      <c r="H106" s="4" t="inlineStr">
        <is>
          <t>Seguir a @1.masesores</t>
        </is>
      </c>
      <c r="I106" s="4" t="inlineStr">
        <is>
          <t>Pendiente</t>
        </is>
      </c>
      <c r="J106" s="4" t="inlineStr"/>
    </row>
    <row r="107">
      <c r="A107" s="6" t="n">
        <v>46482</v>
      </c>
      <c r="B107" s="4" t="inlineStr">
        <is>
          <t>lun</t>
        </is>
      </c>
      <c r="C107" s="6" t="n">
        <v>46482</v>
      </c>
      <c r="D107" s="4" t="inlineStr">
        <is>
          <t>ORGANICO</t>
        </is>
      </c>
      <c r="E107" s="4" t="inlineStr">
        <is>
          <t>Reel</t>
        </is>
      </c>
      <c r="F107" s="4" t="inlineStr">
        <is>
          <t>Siempre</t>
        </is>
      </c>
      <c r="G107" s="4" t="inlineStr">
        <is>
          <t>Testimonio de alumno (con permiso)</t>
        </is>
      </c>
      <c r="H107" s="4" t="inlineStr">
        <is>
          <t>Seguir a @1.masesores</t>
        </is>
      </c>
      <c r="I107" s="4" t="inlineStr">
        <is>
          <t>Pendiente</t>
        </is>
      </c>
      <c r="J107" s="4" t="inlineStr"/>
    </row>
    <row r="108">
      <c r="A108" s="6" t="n">
        <v>46482</v>
      </c>
      <c r="B108" s="4" t="inlineStr">
        <is>
          <t>mié</t>
        </is>
      </c>
      <c r="C108" s="6" t="n">
        <v>46484</v>
      </c>
      <c r="D108" s="4" t="inlineStr">
        <is>
          <t>ORGANICO</t>
        </is>
      </c>
      <c r="E108" s="4" t="inlineStr">
        <is>
          <t>Carrusel</t>
        </is>
      </c>
      <c r="F108" s="4" t="inlineStr">
        <is>
          <t>Siempre</t>
        </is>
      </c>
      <c r="G108" s="4" t="inlineStr">
        <is>
          <t>Detrás de cámaras: cómo preparo una clase</t>
        </is>
      </c>
      <c r="H108" s="4" t="inlineStr">
        <is>
          <t>Seguir a @1.masesores</t>
        </is>
      </c>
      <c r="I108" s="4" t="inlineStr">
        <is>
          <t>Pendiente</t>
        </is>
      </c>
      <c r="J108" s="4" t="inlineStr"/>
    </row>
    <row r="109">
      <c r="A109" s="6" t="n">
        <v>46482</v>
      </c>
      <c r="B109" s="4" t="inlineStr">
        <is>
          <t>vie</t>
        </is>
      </c>
      <c r="C109" s="6" t="n">
        <v>46486</v>
      </c>
      <c r="D109" s="4" t="inlineStr">
        <is>
          <t>ORGANICO</t>
        </is>
      </c>
      <c r="E109" s="4" t="inlineStr">
        <is>
          <t>Historia</t>
        </is>
      </c>
      <c r="F109" s="4" t="inlineStr">
        <is>
          <t>Siempre</t>
        </is>
      </c>
      <c r="G109" s="4" t="inlineStr">
        <is>
          <t>Detrás de cámaras: cómo preparo una clase</t>
        </is>
      </c>
      <c r="H109" s="4" t="inlineStr">
        <is>
          <t>Seguir a @1.masesores</t>
        </is>
      </c>
      <c r="I109" s="4" t="inlineStr">
        <is>
          <t>Pendiente</t>
        </is>
      </c>
      <c r="J109" s="4" t="inlineStr"/>
    </row>
    <row r="110">
      <c r="A110" s="6" t="n">
        <v>46482</v>
      </c>
      <c r="B110" s="4" t="inlineStr">
        <is>
          <t>sáb</t>
        </is>
      </c>
      <c r="C110" s="6" t="n">
        <v>46487</v>
      </c>
      <c r="D110" s="4" t="inlineStr">
        <is>
          <t>REFERIDOS</t>
        </is>
      </c>
      <c r="E110" s="4" t="inlineStr">
        <is>
          <t>WhatsApp</t>
        </is>
      </c>
      <c r="F110" s="4" t="inlineStr">
        <is>
          <t>Siempre</t>
        </is>
      </c>
      <c r="G110" s="4" t="inlineStr">
        <is>
          <t>Difusión: guion 'Referidos' a alumnos y ex alumnos.</t>
        </is>
      </c>
      <c r="H110" s="4" t="inlineStr">
        <is>
          <t>Seguir a @1.masesores</t>
        </is>
      </c>
      <c r="I110" s="4" t="inlineStr">
        <is>
          <t>Pendiente</t>
        </is>
      </c>
      <c r="J110" s="4" t="inlineStr"/>
    </row>
    <row r="111">
      <c r="A111" s="6" t="n">
        <v>46489</v>
      </c>
      <c r="B111" s="4" t="inlineStr">
        <is>
          <t>lun</t>
        </is>
      </c>
      <c r="C111" s="6" t="n">
        <v>46489</v>
      </c>
      <c r="D111" s="4" t="inlineStr">
        <is>
          <t>ORGANICO</t>
        </is>
      </c>
      <c r="E111" s="4" t="inlineStr">
        <is>
          <t>Reel</t>
        </is>
      </c>
      <c r="F111" s="4" t="inlineStr">
        <is>
          <t>Siempre</t>
        </is>
      </c>
      <c r="G111" s="4" t="inlineStr">
        <is>
          <t>Mito o realidad sobre los exámenes de admisión</t>
        </is>
      </c>
      <c r="H111" s="4" t="inlineStr">
        <is>
          <t>Seguir a @1.masesores</t>
        </is>
      </c>
      <c r="I111" s="4" t="inlineStr">
        <is>
          <t>Pendiente</t>
        </is>
      </c>
      <c r="J111" s="4" t="inlineStr"/>
    </row>
    <row r="112">
      <c r="A112" s="6" t="n">
        <v>46489</v>
      </c>
      <c r="B112" s="4" t="inlineStr">
        <is>
          <t>mié</t>
        </is>
      </c>
      <c r="C112" s="6" t="n">
        <v>46491</v>
      </c>
      <c r="D112" s="4" t="inlineStr">
        <is>
          <t>ORGANICO</t>
        </is>
      </c>
      <c r="E112" s="4" t="inlineStr">
        <is>
          <t>Carrusel</t>
        </is>
      </c>
      <c r="F112" s="4" t="inlineStr">
        <is>
          <t>Siempre</t>
        </is>
      </c>
      <c r="G112" s="4" t="inlineStr">
        <is>
          <t>Mito o realidad sobre los exámenes de admisión</t>
        </is>
      </c>
      <c r="H112" s="4" t="inlineStr">
        <is>
          <t>Seguir a @1.masesores</t>
        </is>
      </c>
      <c r="I112" s="4" t="inlineStr">
        <is>
          <t>Pendiente</t>
        </is>
      </c>
      <c r="J112" s="4" t="inlineStr"/>
    </row>
    <row r="113">
      <c r="A113" s="6" t="n">
        <v>46489</v>
      </c>
      <c r="B113" s="4" t="inlineStr">
        <is>
          <t>vie</t>
        </is>
      </c>
      <c r="C113" s="6" t="n">
        <v>46493</v>
      </c>
      <c r="D113" s="4" t="inlineStr">
        <is>
          <t>ORGANICO</t>
        </is>
      </c>
      <c r="E113" s="4" t="inlineStr">
        <is>
          <t>Historia</t>
        </is>
      </c>
      <c r="F113" s="4" t="inlineStr">
        <is>
          <t>Siempre</t>
        </is>
      </c>
      <c r="G113" s="4" t="inlineStr">
        <is>
          <t>Mito o realidad sobre los exámenes de admisión</t>
        </is>
      </c>
      <c r="H113" s="4" t="inlineStr">
        <is>
          <t>Seguir a @1.masesores</t>
        </is>
      </c>
      <c r="I113" s="4" t="inlineStr">
        <is>
          <t>Pendiente</t>
        </is>
      </c>
      <c r="J113" s="4" t="inlineStr"/>
    </row>
    <row r="114">
      <c r="A114" s="6" t="n">
        <v>46489</v>
      </c>
      <c r="B114" s="4" t="inlineStr">
        <is>
          <t>sáb</t>
        </is>
      </c>
      <c r="C114" s="6" t="n">
        <v>46494</v>
      </c>
      <c r="D114" s="4" t="inlineStr">
        <is>
          <t>REFERIDOS</t>
        </is>
      </c>
      <c r="E114" s="4" t="inlineStr">
        <is>
          <t>WhatsApp</t>
        </is>
      </c>
      <c r="F114" s="4" t="inlineStr">
        <is>
          <t>Siempre</t>
        </is>
      </c>
      <c r="G114" s="4" t="inlineStr">
        <is>
          <t>Difusión: guion 'Referidos' a alumnos y ex alumnos.</t>
        </is>
      </c>
      <c r="H114" s="4" t="inlineStr">
        <is>
          <t>Seguir a @1.masesores</t>
        </is>
      </c>
      <c r="I114" s="4" t="inlineStr">
        <is>
          <t>Pendiente</t>
        </is>
      </c>
      <c r="J114" s="4" t="inlineStr"/>
    </row>
    <row r="115">
      <c r="A115" s="6" t="n">
        <v>46496</v>
      </c>
      <c r="B115" s="4" t="inlineStr">
        <is>
          <t>lun</t>
        </is>
      </c>
      <c r="C115" s="6" t="n">
        <v>46496</v>
      </c>
      <c r="D115" s="4" t="inlineStr">
        <is>
          <t>ORGANICO</t>
        </is>
      </c>
      <c r="E115" s="4" t="inlineStr">
        <is>
          <t>Reel</t>
        </is>
      </c>
      <c r="F115" s="4" t="inlineStr">
        <is>
          <t>Siempre</t>
        </is>
      </c>
      <c r="G115" s="4" t="inlineStr">
        <is>
          <t>Frase ASTROS de la semana + tip de estudio</t>
        </is>
      </c>
      <c r="H115" s="4" t="inlineStr">
        <is>
          <t>Seguir a @1.masesores</t>
        </is>
      </c>
      <c r="I115" s="4" t="inlineStr">
        <is>
          <t>Pendiente</t>
        </is>
      </c>
      <c r="J115" s="4" t="inlineStr"/>
    </row>
    <row r="116">
      <c r="A116" s="6" t="n">
        <v>46496</v>
      </c>
      <c r="B116" s="4" t="inlineStr">
        <is>
          <t>mié</t>
        </is>
      </c>
      <c r="C116" s="6" t="n">
        <v>46498</v>
      </c>
      <c r="D116" s="4" t="inlineStr">
        <is>
          <t>ORGANICO</t>
        </is>
      </c>
      <c r="E116" s="4" t="inlineStr">
        <is>
          <t>Carrusel</t>
        </is>
      </c>
      <c r="F116" s="4" t="inlineStr">
        <is>
          <t>Siempre</t>
        </is>
      </c>
      <c r="G116" s="4" t="inlineStr">
        <is>
          <t>Frase ASTROS de la semana + tip de estudio</t>
        </is>
      </c>
      <c r="H116" s="4" t="inlineStr">
        <is>
          <t>Seguir a @1.masesores</t>
        </is>
      </c>
      <c r="I116" s="4" t="inlineStr">
        <is>
          <t>Pendiente</t>
        </is>
      </c>
      <c r="J116" s="4" t="inlineStr"/>
    </row>
    <row r="117">
      <c r="A117" s="6" t="n">
        <v>46496</v>
      </c>
      <c r="B117" s="4" t="inlineStr">
        <is>
          <t>vie</t>
        </is>
      </c>
      <c r="C117" s="6" t="n">
        <v>46500</v>
      </c>
      <c r="D117" s="4" t="inlineStr">
        <is>
          <t>ORGANICO</t>
        </is>
      </c>
      <c r="E117" s="4" t="inlineStr">
        <is>
          <t>Historia</t>
        </is>
      </c>
      <c r="F117" s="4" t="inlineStr">
        <is>
          <t>Siempre</t>
        </is>
      </c>
      <c r="G117" s="4" t="inlineStr">
        <is>
          <t>Testimonio de alumno (con permiso)</t>
        </is>
      </c>
      <c r="H117" s="4" t="inlineStr">
        <is>
          <t>Seguir a @1.masesores</t>
        </is>
      </c>
      <c r="I117" s="4" t="inlineStr">
        <is>
          <t>Pendiente</t>
        </is>
      </c>
      <c r="J117" s="4" t="inlineStr"/>
    </row>
    <row r="118">
      <c r="A118" s="6" t="n">
        <v>46496</v>
      </c>
      <c r="B118" s="4" t="inlineStr">
        <is>
          <t>sáb</t>
        </is>
      </c>
      <c r="C118" s="6" t="n">
        <v>46501</v>
      </c>
      <c r="D118" s="4" t="inlineStr">
        <is>
          <t>REFERIDOS</t>
        </is>
      </c>
      <c r="E118" s="4" t="inlineStr">
        <is>
          <t>WhatsApp</t>
        </is>
      </c>
      <c r="F118" s="4" t="inlineStr">
        <is>
          <t>Siempre</t>
        </is>
      </c>
      <c r="G118" s="4" t="inlineStr">
        <is>
          <t>Difusión: guion 'Referidos' a alumnos y ex alumnos.</t>
        </is>
      </c>
      <c r="H118" s="4" t="inlineStr">
        <is>
          <t>Seguir a @1.masesores</t>
        </is>
      </c>
      <c r="I118" s="4" t="inlineStr">
        <is>
          <t>Pendiente</t>
        </is>
      </c>
      <c r="J118" s="4" t="inlineStr"/>
    </row>
    <row r="119">
      <c r="A119" s="6" t="n">
        <v>46503</v>
      </c>
      <c r="B119" s="4" t="inlineStr">
        <is>
          <t>lun</t>
        </is>
      </c>
      <c r="C119" s="6" t="n">
        <v>46503</v>
      </c>
      <c r="D119" s="4" t="inlineStr">
        <is>
          <t>ORGANICO</t>
        </is>
      </c>
      <c r="E119" s="4" t="inlineStr">
        <is>
          <t>Reel</t>
        </is>
      </c>
      <c r="F119" s="4" t="inlineStr">
        <is>
          <t>Siempre</t>
        </is>
      </c>
      <c r="G119" s="4" t="inlineStr">
        <is>
          <t>Testimonio de alumno (con permiso)</t>
        </is>
      </c>
      <c r="H119" s="4" t="inlineStr">
        <is>
          <t>Seguir a @1.masesores</t>
        </is>
      </c>
      <c r="I119" s="4" t="inlineStr">
        <is>
          <t>Pendiente</t>
        </is>
      </c>
      <c r="J119" s="4" t="inlineStr"/>
    </row>
    <row r="120">
      <c r="A120" s="6" t="n">
        <v>46503</v>
      </c>
      <c r="B120" s="4" t="inlineStr">
        <is>
          <t>mié</t>
        </is>
      </c>
      <c r="C120" s="6" t="n">
        <v>46505</v>
      </c>
      <c r="D120" s="4" t="inlineStr">
        <is>
          <t>ORGANICO</t>
        </is>
      </c>
      <c r="E120" s="4" t="inlineStr">
        <is>
          <t>Carrusel</t>
        </is>
      </c>
      <c r="F120" s="4" t="inlineStr">
        <is>
          <t>Siempre</t>
        </is>
      </c>
      <c r="G120" s="4" t="inlineStr">
        <is>
          <t>Detrás de cámaras: cómo preparo una clase</t>
        </is>
      </c>
      <c r="H120" s="4" t="inlineStr">
        <is>
          <t>Seguir a @1.masesores</t>
        </is>
      </c>
      <c r="I120" s="4" t="inlineStr">
        <is>
          <t>Pendiente</t>
        </is>
      </c>
      <c r="J120" s="4" t="inlineStr"/>
    </row>
    <row r="121">
      <c r="A121" s="6" t="n">
        <v>46503</v>
      </c>
      <c r="B121" s="4" t="inlineStr">
        <is>
          <t>vie</t>
        </is>
      </c>
      <c r="C121" s="6" t="n">
        <v>46507</v>
      </c>
      <c r="D121" s="4" t="inlineStr">
        <is>
          <t>ORGANICO</t>
        </is>
      </c>
      <c r="E121" s="4" t="inlineStr">
        <is>
          <t>Historia</t>
        </is>
      </c>
      <c r="F121" s="4" t="inlineStr">
        <is>
          <t>Siempre</t>
        </is>
      </c>
      <c r="G121" s="4" t="inlineStr">
        <is>
          <t>Detrás de cámaras: cómo preparo una clase</t>
        </is>
      </c>
      <c r="H121" s="4" t="inlineStr">
        <is>
          <t>Seguir a @1.masesores</t>
        </is>
      </c>
      <c r="I121" s="4" t="inlineStr">
        <is>
          <t>Pendiente</t>
        </is>
      </c>
      <c r="J121" s="4" t="inlineStr"/>
    </row>
    <row r="122">
      <c r="A122" s="6" t="n">
        <v>46503</v>
      </c>
      <c r="B122" s="4" t="inlineStr">
        <is>
          <t>sáb</t>
        </is>
      </c>
      <c r="C122" s="6" t="n">
        <v>46508</v>
      </c>
      <c r="D122" s="4" t="inlineStr">
        <is>
          <t>REFERIDOS</t>
        </is>
      </c>
      <c r="E122" s="4" t="inlineStr">
        <is>
          <t>WhatsApp</t>
        </is>
      </c>
      <c r="F122" s="4" t="inlineStr">
        <is>
          <t>Siempre</t>
        </is>
      </c>
      <c r="G122" s="4" t="inlineStr">
        <is>
          <t>Difusión: guion 'Referidos' a alumnos y ex alumnos.</t>
        </is>
      </c>
      <c r="H122" s="4" t="inlineStr">
        <is>
          <t>Seguir a @1.masesores</t>
        </is>
      </c>
      <c r="I122" s="4" t="inlineStr">
        <is>
          <t>Pendiente</t>
        </is>
      </c>
      <c r="J122" s="4" t="inlineStr"/>
    </row>
  </sheetData>
  <autoFilter ref="A1:J122"/>
  <dataValidations count="1">
    <dataValidation sqref="I2:I323" showDropDown="0" showInputMessage="0" showErrorMessage="0" allowBlank="1" type="list">
      <formula1>"Pendiente,Programado,Publicado,No se hizo"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C74F"/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00" customWidth="1" min="3" max="3"/>
  </cols>
  <sheetData>
    <row r="1" ht="30" customHeight="1">
      <c r="A1" s="5" t="inlineStr">
        <is>
          <t>Guion</t>
        </is>
      </c>
      <c r="B1" s="5" t="inlineStr">
        <is>
          <t>Cuándo usarlo</t>
        </is>
      </c>
      <c r="C1" s="5" t="inlineStr">
        <is>
          <t>Texto (copia y pega, cambia lo que está entre [ ])</t>
        </is>
      </c>
    </row>
    <row r="2" ht="70" customHeight="1">
      <c r="A2" s="4" t="inlineStr">
        <is>
          <t>Primer contacto</t>
        </is>
      </c>
      <c r="B2" s="4" t="inlineStr">
        <is>
          <t>Alguien escribe por primera vez</t>
        </is>
      </c>
      <c r="C2" s="4" t="inlineStr">
        <is>
          <t>¡Hola [nombre]! 👋 Soy Martini de ASTROS Maestros Asesores. Gracias por escribirnos. ¿A qué universidad postulas y cuándo es tu examen? Te ofrezco una clase diagnóstica GRATIS de 45 minutos: vemos qué temas dominas, cuáles te faltan y armamos tu plan semana a semana. ¿Qué día te acomoda?</t>
        </is>
      </c>
    </row>
    <row r="3" ht="70" customHeight="1">
      <c r="A3" s="4" t="inlineStr">
        <is>
          <t>Después del diagnóstico</t>
        </is>
      </c>
      <c r="B3" s="4" t="inlineStr">
        <is>
          <t>El mismo día del diagnóstico</t>
        </is>
      </c>
      <c r="C3" s="4" t="inlineStr">
        <is>
          <t>¡Gracias por la clase de hoy, [nombre]! 🚀 Te resumo: estás fuerte en [tema] y conviene reforzar [tema 1] y [tema 2]. Para llegar listo(a) a [examen] el [fecha], te recomiendo [producto] ([horas] h, [precio]). Puedes pagar por Yape, Plin o transferencia. ¿Te reservo tus horarios?</t>
        </is>
      </c>
    </row>
    <row r="4" ht="70" customHeight="1">
      <c r="A4" s="4" t="inlineStr">
        <is>
          <t>Seguimiento (2-3 días)</t>
        </is>
      </c>
      <c r="B4" s="4" t="inlineStr">
        <is>
          <t>No respondió a la propuesta</t>
        </is>
      </c>
      <c r="C4" s="4" t="inlineStr">
        <is>
          <t>Hola [nombre], ¿pudiste revisar el plan? Te dejo un mini simulacro tipo [universidad] con solucionario para que practiques 📄. Si te animas, esta semana aún tengo horarios [días].</t>
        </is>
      </c>
    </row>
    <row r="5" ht="70" customHeight="1">
      <c r="A5" s="4" t="inlineStr">
        <is>
          <t>Cierre</t>
        </is>
      </c>
      <c r="B5" s="4" t="inlineStr">
        <is>
          <t>Aceptó la propuesta</t>
        </is>
      </c>
      <c r="C5" s="4" t="inlineStr">
        <is>
          <t>¡Excelente, [nombre]! 🎉 Para confirmar tu cupo, el pago es de [monto] por Yape/Plin o transferencia. Envíame el comprobante por aquí y te mando tu horario y el acceso a tu carpeta de clases grabadas.</t>
        </is>
      </c>
    </row>
    <row r="6" ht="70" customHeight="1">
      <c r="A6" s="4" t="inlineStr">
        <is>
          <t>Recordatorio de inscripción</t>
        </is>
      </c>
      <c r="B6" s="4" t="inlineStr">
        <is>
          <t>Una semana antes del cierre oficial</t>
        </is>
      </c>
      <c r="C6" s="4" t="inlineStr">
        <is>
          <t>⏰ [nombre], la inscripción para [examen] cierra el [fecha y hora]. ¿Ya te inscribiste? Si necesitas ayuda con el proceso, avísame.</t>
        </is>
      </c>
    </row>
    <row r="7" ht="70" customHeight="1">
      <c r="A7" s="4" t="inlineStr">
        <is>
          <t>Simulacro final</t>
        </is>
      </c>
      <c r="B7" s="4" t="inlineStr">
        <is>
          <t>1-2 semanas antes del examen</t>
        </is>
      </c>
      <c r="C7" s="4" t="inlineStr">
        <is>
          <t>Hola [nombre], este [día] hacemos el simulacro final tipo [universidad], cronometrado y con corrección personalizada. ¿Te separo un cupo?</t>
        </is>
      </c>
    </row>
    <row r="8" ht="70" customHeight="1">
      <c r="A8" s="4" t="inlineStr">
        <is>
          <t>Post-resultado: ingresó</t>
        </is>
      </c>
      <c r="B8" s="4" t="inlineStr">
        <is>
          <t>Día de resultados</t>
        </is>
      </c>
      <c r="C8" s="4" t="inlineStr">
        <is>
          <t>¡FELICITACIONES, [nombre]! 🎓🚀 Lo lograste. ¿Me das permiso para compartir tu logro en nuestras redes? Y si tienes amigos que postulan, por cada uno que se inscriba te regalo 1 hora de tutoría para tu primer ciclo.</t>
        </is>
      </c>
    </row>
    <row r="9" ht="70" customHeight="1">
      <c r="A9" s="4" t="inlineStr">
        <is>
          <t>Post-resultado: no ingresó</t>
        </is>
      </c>
      <c r="B9" s="4" t="inlineStr">
        <is>
          <t>Día de resultados</t>
        </is>
      </c>
      <c r="C9" s="4" t="inlineStr">
        <is>
          <t>[nombre], sé que no es la noticia que esperabas. Lo que preparaste no se pierde: el próximo proceso es [fecha]. Te propongo revisar juntos tu examen y armar un plan de verano. ¿Conversamos esta semana?</t>
        </is>
      </c>
    </row>
    <row r="10" ht="70" customHeight="1">
      <c r="A10" s="4" t="inlineStr">
        <is>
          <t>Referidos</t>
        </is>
      </c>
      <c r="B10" s="4" t="inlineStr">
        <is>
          <t>Alumnos actuales y ex alumnos</t>
        </is>
      </c>
      <c r="C10" s="4" t="inlineStr">
        <is>
          <t>Hola [nombre] 👋 ¿Conoces a alguien que postule a PUCP, ULIMA, UPC o Cayetano, o que necesite ayuda en la universidad? Por cada amigo que se inscriba en un paquete, te regalo 1 hora de clase. ¡Gracias por ser parte de la tripulación ASTROS!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3946"/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 ht="30" customHeight="1">
      <c r="A1" s="5" t="inlineStr">
        <is>
          <t>Código</t>
        </is>
      </c>
      <c r="B1" s="5" t="inlineStr">
        <is>
          <t>Presupuesto ads (S/)</t>
        </is>
      </c>
      <c r="C1" s="5" t="inlineStr">
        <is>
          <t>Meta inscritos</t>
        </is>
      </c>
      <c r="D1" s="5" t="inlineStr">
        <is>
          <t>Costo meta por inscrito (S/)</t>
        </is>
      </c>
      <c r="E1" s="5" t="inlineStr">
        <is>
          <t>Gasto real (S/)</t>
        </is>
      </c>
      <c r="F1" s="5" t="inlineStr">
        <is>
          <t>Inscritos reales (del SIG)</t>
        </is>
      </c>
      <c r="G1" s="5" t="inlineStr">
        <is>
          <t>Costo real por inscrito (S/)</t>
        </is>
      </c>
    </row>
    <row r="2">
      <c r="A2">
        <f>Campanas!A2</f>
        <v/>
      </c>
      <c r="B2" s="7">
        <f>Campanas!N2</f>
        <v/>
      </c>
      <c r="C2">
        <f>Campanas!P2</f>
        <v/>
      </c>
      <c r="D2" s="7">
        <f>IFERROR(B2/C2,"")</f>
        <v/>
      </c>
      <c r="E2" s="7" t="n"/>
      <c r="G2" s="7">
        <f>IFERROR(E2/F2,"")</f>
        <v/>
      </c>
    </row>
    <row r="3">
      <c r="A3">
        <f>Campanas!A3</f>
        <v/>
      </c>
      <c r="B3" s="7">
        <f>Campanas!N3</f>
        <v/>
      </c>
      <c r="C3">
        <f>Campanas!P3</f>
        <v/>
      </c>
      <c r="D3" s="7">
        <f>IFERROR(B3/C3,"")</f>
        <v/>
      </c>
      <c r="E3" s="7" t="n"/>
      <c r="G3" s="7">
        <f>IFERROR(E3/F3,"")</f>
        <v/>
      </c>
    </row>
    <row r="4">
      <c r="A4">
        <f>Campanas!A4</f>
        <v/>
      </c>
      <c r="B4" s="7">
        <f>Campanas!N4</f>
        <v/>
      </c>
      <c r="C4">
        <f>Campanas!P4</f>
        <v/>
      </c>
      <c r="D4" s="7">
        <f>IFERROR(B4/C4,"")</f>
        <v/>
      </c>
      <c r="E4" s="7" t="n"/>
      <c r="G4" s="7">
        <f>IFERROR(E4/F4,"")</f>
        <v/>
      </c>
    </row>
    <row r="5">
      <c r="A5">
        <f>Campanas!A5</f>
        <v/>
      </c>
      <c r="B5" s="7">
        <f>Campanas!N5</f>
        <v/>
      </c>
      <c r="C5">
        <f>Campanas!P5</f>
        <v/>
      </c>
      <c r="D5" s="7">
        <f>IFERROR(B5/C5,"")</f>
        <v/>
      </c>
      <c r="E5" s="7" t="n"/>
      <c r="G5" s="7">
        <f>IFERROR(E5/F5,"")</f>
        <v/>
      </c>
    </row>
    <row r="6">
      <c r="A6">
        <f>Campanas!A6</f>
        <v/>
      </c>
      <c r="B6" s="7">
        <f>Campanas!N6</f>
        <v/>
      </c>
      <c r="C6">
        <f>Campanas!P6</f>
        <v/>
      </c>
      <c r="D6" s="7">
        <f>IFERROR(B6/C6,"")</f>
        <v/>
      </c>
      <c r="E6" s="7" t="n"/>
      <c r="G6" s="7">
        <f>IFERROR(E6/F6,"")</f>
        <v/>
      </c>
    </row>
    <row r="7">
      <c r="A7">
        <f>Campanas!A7</f>
        <v/>
      </c>
      <c r="B7" s="7">
        <f>Campanas!N7</f>
        <v/>
      </c>
      <c r="C7">
        <f>Campanas!P7</f>
        <v/>
      </c>
      <c r="D7" s="7">
        <f>IFERROR(B7/C7,"")</f>
        <v/>
      </c>
      <c r="E7" s="7" t="n"/>
      <c r="G7" s="7">
        <f>IFERROR(E7/F7,"")</f>
        <v/>
      </c>
    </row>
    <row r="8">
      <c r="A8">
        <f>Campanas!A8</f>
        <v/>
      </c>
      <c r="B8" s="7">
        <f>Campanas!N8</f>
        <v/>
      </c>
      <c r="C8">
        <f>Campanas!P8</f>
        <v/>
      </c>
      <c r="D8" s="7">
        <f>IFERROR(B8/C8,"")</f>
        <v/>
      </c>
      <c r="E8" s="7" t="n"/>
      <c r="G8" s="7">
        <f>IFERROR(E8/F8,"")</f>
        <v/>
      </c>
    </row>
    <row r="9">
      <c r="A9">
        <f>Campanas!A9</f>
        <v/>
      </c>
      <c r="B9" s="7">
        <f>Campanas!N9</f>
        <v/>
      </c>
      <c r="C9">
        <f>Campanas!P9</f>
        <v/>
      </c>
      <c r="D9" s="7">
        <f>IFERROR(B9/C9,"")</f>
        <v/>
      </c>
      <c r="E9" s="7" t="n"/>
      <c r="G9" s="7">
        <f>IFERROR(E9/F9,"")</f>
        <v/>
      </c>
    </row>
    <row r="10">
      <c r="A10">
        <f>Campanas!A10</f>
        <v/>
      </c>
      <c r="B10" s="7">
        <f>Campanas!N10</f>
        <v/>
      </c>
      <c r="C10">
        <f>Campanas!P10</f>
        <v/>
      </c>
      <c r="D10" s="7">
        <f>IFERROR(B10/C10,"")</f>
        <v/>
      </c>
      <c r="E10" s="7" t="n"/>
      <c r="G10" s="7">
        <f>IFERROR(E10/F10,"")</f>
        <v/>
      </c>
    </row>
    <row r="11">
      <c r="A11" s="8" t="inlineStr">
        <is>
          <t>TOTAL</t>
        </is>
      </c>
      <c r="B11" s="7">
        <f>SUM(B2:B10)</f>
        <v/>
      </c>
      <c r="C11">
        <f>SUM(C2:C10)</f>
        <v/>
      </c>
      <c r="D11" s="7">
        <f>IFERROR(B11/C11,"")</f>
        <v/>
      </c>
      <c r="E11" s="7">
        <f>SUM(E2:E10)</f>
        <v/>
      </c>
      <c r="F11">
        <f>SUM(F2:F10)</f>
        <v/>
      </c>
      <c r="G11" s="7">
        <f>IFERROR(E11/F11,"")</f>
        <v/>
      </c>
    </row>
    <row r="13" ht="45" customHeight="1">
      <c r="A13" s="4" t="inlineStr">
        <is>
          <t>Anuncios en Meta (IG/FB): segmenta Lima, 16-19 años y padres 38-55, intereses 'admisión universitaria' y la universidad. Empieza con el mínimo diario y sube solo en los anuncios con más mensajes por sol.</t>
        </is>
      </c>
    </row>
  </sheetData>
  <mergeCells count="1">
    <mergeCell ref="A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2026-10-13T18:41:27Z</dcterms:created>
  <dcterms:modified xmlns:dcterms="http://purl.org/dc/terms/" xmlns:xsi="http://www.w3.org/2001/XMLSchema-instance" xsi:type="dcterms:W3CDTF">2026-10-13T18:41:27Z</dcterms:modified>
</cp:coreProperties>
</file>